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ober Goals" sheetId="1" state="visible" r:id="rId1"/>
    <sheet xmlns:r="http://schemas.openxmlformats.org/officeDocument/2006/relationships" name="Weekly Tracker" sheetId="2" state="visible" r:id="rId2"/>
    <sheet xmlns:r="http://schemas.openxmlformats.org/officeDocument/2006/relationships" name="Close More Leads" sheetId="3" state="visible" r:id="rId3"/>
    <sheet xmlns:r="http://schemas.openxmlformats.org/officeDocument/2006/relationships" name="Price Management" sheetId="4" state="visible" r:id="rId4"/>
    <sheet xmlns:r="http://schemas.openxmlformats.org/officeDocument/2006/relationships" name="Invoice Split" sheetId="5" state="visible" r:id="rId5"/>
    <sheet xmlns:r="http://schemas.openxmlformats.org/officeDocument/2006/relationships" name="Company Go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8">
    <font>
      <name val="Calibri"/>
      <family val="2"/>
      <color theme="1"/>
      <sz val="11"/>
      <scheme val="minor"/>
    </font>
    <font>
      <name val="Arial"/>
      <i val="1"/>
      <color rgb="00666666"/>
      <sz val="8"/>
    </font>
    <font>
      <name val="Arial"/>
      <b val="1"/>
      <color rgb="000F2330"/>
      <sz val="15"/>
    </font>
    <font>
      <name val="Arial"/>
      <i val="1"/>
      <color rgb="005B7380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E7775"/>
      <sz val="10"/>
    </font>
  </fonts>
  <fills count="4">
    <fill>
      <patternFill/>
    </fill>
    <fill>
      <patternFill patternType="gray125"/>
    </fill>
    <fill>
      <patternFill patternType="solid">
        <fgColor rgb="000E7775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left style="thin">
        <color rgb="00C9D6DB"/>
      </left>
      <right style="thin">
        <color rgb="00C9D6DB"/>
      </right>
      <top style="thin">
        <color rgb="00C9D6DB"/>
      </top>
      <bottom style="thin">
        <color rgb="00C9D6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0" fillId="3" borderId="0" pivotButton="0" quotePrefix="0" xfId="0"/>
    <xf numFmtId="9" fontId="4" fillId="0" borderId="1" applyAlignment="1" pivotButton="0" quotePrefix="0" xfId="0">
      <alignment vertical="top" wrapText="1"/>
    </xf>
    <xf numFmtId="164" fontId="0" fillId="3" borderId="0" pivotButton="0" quotePrefix="0" xfId="0"/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9" fontId="6" fillId="0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5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1" customWidth="1" min="4" max="4"/>
    <col width="70" customWidth="1" min="5" max="5"/>
  </cols>
  <sheetData>
    <row r="1">
      <c r="A1" s="1" t="inlineStr">
        <is>
          <t>© 2026 Morgan / Coastline Auto Detailing. All rights reserved. Confidential — do not copy or share without written permission.</t>
        </is>
      </c>
    </row>
    <row r="2">
      <c r="A2" s="2" t="inlineStr">
        <is>
          <t>OCTOBER 2026 GOALS: $10,000 MONTH</t>
        </is>
      </c>
    </row>
    <row r="3">
      <c r="A3" s="3" t="inlineStr">
        <is>
          <t>Type your actual numbers in the Actual column. Progress fills in.</t>
        </is>
      </c>
    </row>
    <row r="5">
      <c r="A5" s="4" t="inlineStr">
        <is>
          <t>Goal</t>
        </is>
      </c>
      <c r="B5" s="4" t="inlineStr">
        <is>
          <t>Target</t>
        </is>
      </c>
      <c r="C5" s="4" t="inlineStr">
        <is>
          <t>Actual</t>
        </is>
      </c>
      <c r="D5" s="4" t="inlineStr">
        <is>
          <t>Progress</t>
        </is>
      </c>
      <c r="E5" s="4" t="inlineStr">
        <is>
          <t>How to hit it</t>
        </is>
      </c>
    </row>
    <row r="6">
      <c r="A6" s="5" t="inlineStr">
        <is>
          <t>Revenue</t>
        </is>
      </c>
      <c r="B6" s="6" t="n">
        <v>10000</v>
      </c>
      <c r="C6" s="7" t="inlineStr"/>
      <c r="D6" s="8">
        <f>IF(C6="","",C6/B6)</f>
        <v/>
      </c>
      <c r="E6" s="5" t="inlineStr">
        <is>
          <t>~45 jobs at a $225 average ticket. About 11 jobs a week.</t>
        </is>
      </c>
    </row>
    <row r="7">
      <c r="A7" s="5" t="inlineStr">
        <is>
          <t>Jobs completed</t>
        </is>
      </c>
      <c r="B7" s="5" t="n">
        <v>45</v>
      </c>
      <c r="C7" s="7" t="inlineStr"/>
      <c r="D7" s="8">
        <f>IF(C7="","",C7/B7)</f>
        <v/>
      </c>
      <c r="E7" s="5" t="inlineStr">
        <is>
          <t>1–2 jobs a day. Techs have room; leads are the limit.</t>
        </is>
      </c>
    </row>
    <row r="8">
      <c r="A8" s="5" t="inlineStr">
        <is>
          <t>Average ticket ($)</t>
        </is>
      </c>
      <c r="B8" s="5" t="n">
        <v>225</v>
      </c>
      <c r="C8" s="7" t="inlineStr"/>
      <c r="D8" s="8">
        <f>IF(C8="","",C8/B8)</f>
        <v/>
      </c>
      <c r="E8" s="5" t="inlineStr">
        <is>
          <t>Upsell interiors to full details (+$50) and sell add-ons.</t>
        </is>
      </c>
    </row>
    <row r="9">
      <c r="A9" s="5" t="inlineStr">
        <is>
          <t>Net profit ($)</t>
        </is>
      </c>
      <c r="B9" s="6" t="n">
        <v>5000</v>
      </c>
      <c r="C9" s="7" t="inlineStr"/>
      <c r="D9" s="8">
        <f>IF(C9="","",C9/B9)</f>
        <v/>
      </c>
      <c r="E9" s="5" t="inlineStr">
        <is>
          <t>Revenue minus tech pay, Rapid Reach ($25/job), ads and supplies. 50% margin.</t>
        </is>
      </c>
    </row>
    <row r="10">
      <c r="A10" s="5" t="inlineStr">
        <is>
          <t>Google reviews</t>
        </is>
      </c>
      <c r="B10" s="5" t="n">
        <v>31</v>
      </c>
      <c r="C10" s="7" t="inlineStr"/>
      <c r="D10" s="8">
        <f>IF(C10="","",C10/B10)</f>
        <v/>
      </c>
      <c r="E10" s="5" t="inlineStr">
        <is>
          <t>1 a day. Text the review link within 1 hour of every job.</t>
        </is>
      </c>
    </row>
    <row r="11">
      <c r="A11" s="5" t="inlineStr">
        <is>
          <t>Leads</t>
        </is>
      </c>
      <c r="B11" s="5" t="n">
        <v>113</v>
      </c>
      <c r="C11" s="7" t="inlineStr"/>
      <c r="D11" s="8">
        <f>IF(C11="","",C11/B11)</f>
        <v/>
      </c>
      <c r="E11" s="5" t="inlineStr">
        <is>
          <t>45 jobs ÷ 40% close rate. Google LSA + posting daily + Meta coatings from Oct 14.</t>
        </is>
      </c>
    </row>
    <row r="12">
      <c r="A12" s="5" t="inlineStr">
        <is>
          <t>Close rate (%)</t>
        </is>
      </c>
      <c r="B12" s="5" t="n">
        <v>40</v>
      </c>
      <c r="C12" s="7" t="inlineStr"/>
      <c r="D12" s="8">
        <f>IF(C12="","",C12/B12)</f>
        <v/>
      </c>
      <c r="E12" s="5" t="inlineStr">
        <is>
          <t>Reply in under 5 min, give 2 times, follow up day 1/3/7 (Closing Scripts sheet).</t>
        </is>
      </c>
    </row>
    <row r="13">
      <c r="A13" s="5" t="inlineStr">
        <is>
          <t>Add-ons sold</t>
        </is>
      </c>
      <c r="B13" s="5" t="n">
        <v>15</v>
      </c>
      <c r="C13" s="7" t="inlineStr"/>
      <c r="D13" s="8">
        <f>IF(C13="","",C13/B13)</f>
        <v/>
      </c>
      <c r="E13" s="5" t="inlineStr">
        <is>
          <t>Offer one on every job: pet hair, stains, odor, headlights.</t>
        </is>
      </c>
    </row>
    <row r="14">
      <c r="A14" s="5" t="inlineStr">
        <is>
          <t>Ceramic coatings booked</t>
        </is>
      </c>
      <c r="B14" s="5" t="n">
        <v>2</v>
      </c>
      <c r="C14" s="7" t="inlineStr"/>
      <c r="D14" s="8">
        <f>IF(C14="","",C14/B14)</f>
        <v/>
      </c>
      <c r="E14" s="5" t="inlineStr">
        <is>
          <t>Meta coating ads start Oct 14. Pitch a coating after every detail.</t>
        </is>
      </c>
    </row>
    <row r="15">
      <c r="A15" s="5" t="inlineStr">
        <is>
          <t>Instagram/TikTok posts</t>
        </is>
      </c>
      <c r="B15" s="5" t="n">
        <v>31</v>
      </c>
      <c r="C15" s="7" t="inlineStr"/>
      <c r="D15" s="8">
        <f>IF(C15="","",C15/B15)</f>
        <v/>
      </c>
      <c r="E15" s="5" t="inlineStr">
        <is>
          <t>Post one before-and-after every day.</t>
        </is>
      </c>
    </row>
    <row r="16">
      <c r="A16" s="5" t="inlineStr">
        <is>
          <t>Fleet/dealership pitches</t>
        </is>
      </c>
      <c r="B16" s="5" t="n">
        <v>4</v>
      </c>
      <c r="C16" s="7" t="inlineStr"/>
      <c r="D16" s="8">
        <f>IF(C16="","",C16/B16)</f>
        <v/>
      </c>
      <c r="E16" s="5" t="inlineStr">
        <is>
          <t>One a week (see Jarvis → Grow).</t>
        </is>
      </c>
    </row>
    <row r="17">
      <c r="A17" s="5" t="inlineStr">
        <is>
          <t>Past customers texted</t>
        </is>
      </c>
      <c r="B17" s="5" t="n">
        <v>30</v>
      </c>
      <c r="C17" s="7" t="inlineStr"/>
      <c r="D17" s="8">
        <f>IF(C17="","",C17/B17)</f>
        <v/>
      </c>
      <c r="E17" s="5" t="inlineStr">
        <is>
          <t>Reactivation text to everyone from 60+ days ago.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8" customWidth="1" min="4" max="4"/>
    <col width="9" customWidth="1" min="5" max="5"/>
    <col width="8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© 2026 Morgan / Coastline Auto Detailing. All rights reserved. Confidential — do not copy or share without written permission.</t>
        </is>
      </c>
    </row>
    <row r="2">
      <c r="A2" s="2" t="inlineStr">
        <is>
          <t>WEEKLY TRACKER</t>
        </is>
      </c>
    </row>
    <row r="3">
      <c r="A3" s="3" t="inlineStr">
        <is>
          <t>Check every Sunday night. Type actuals; close rate and pace fill in.</t>
        </is>
      </c>
    </row>
    <row r="5">
      <c r="A5" s="4" t="inlineStr">
        <is>
          <t>Week</t>
        </is>
      </c>
      <c r="B5" s="4" t="inlineStr">
        <is>
          <t>Revenue target</t>
        </is>
      </c>
      <c r="C5" s="4" t="inlineStr">
        <is>
          <t>Revenue actual</t>
        </is>
      </c>
      <c r="D5" s="4" t="inlineStr">
        <is>
          <t>Jobs</t>
        </is>
      </c>
      <c r="E5" s="4" t="inlineStr">
        <is>
          <t>Reviews</t>
        </is>
      </c>
      <c r="F5" s="4" t="inlineStr">
        <is>
          <t>Leads</t>
        </is>
      </c>
      <c r="G5" s="4" t="inlineStr">
        <is>
          <t>Booked</t>
        </is>
      </c>
      <c r="H5" s="4" t="inlineStr">
        <is>
          <t>Close rate</t>
        </is>
      </c>
      <c r="I5" s="4" t="inlineStr">
        <is>
          <t>Pace</t>
        </is>
      </c>
    </row>
    <row r="6">
      <c r="A6" s="5" t="inlineStr">
        <is>
          <t>Oct 1–7</t>
        </is>
      </c>
      <c r="B6" s="6" t="n">
        <v>2250</v>
      </c>
      <c r="C6" s="9" t="inlineStr"/>
      <c r="D6" s="7" t="inlineStr"/>
      <c r="E6" s="7" t="inlineStr"/>
      <c r="F6" s="7" t="inlineStr"/>
      <c r="G6" s="7" t="inlineStr"/>
      <c r="H6" s="8">
        <f>IF(OR(F6="",F6=0),"",G6/F6)</f>
        <v/>
      </c>
      <c r="I6" s="5">
        <f>IF(C6="","",IF(C6&gt;=B6,"On pace","Behind"))</f>
        <v/>
      </c>
    </row>
    <row r="7">
      <c r="A7" s="5" t="inlineStr">
        <is>
          <t>Oct 8–14</t>
        </is>
      </c>
      <c r="B7" s="6" t="n">
        <v>2250</v>
      </c>
      <c r="C7" s="9" t="inlineStr"/>
      <c r="D7" s="7" t="inlineStr"/>
      <c r="E7" s="7" t="inlineStr"/>
      <c r="F7" s="7" t="inlineStr"/>
      <c r="G7" s="7" t="inlineStr"/>
      <c r="H7" s="8">
        <f>IF(OR(F7="",F7=0),"",G7/F7)</f>
        <v/>
      </c>
      <c r="I7" s="5">
        <f>IF(C7="","",IF(C7&gt;=B7,"On pace","Behind"))</f>
        <v/>
      </c>
    </row>
    <row r="8">
      <c r="A8" s="5" t="inlineStr">
        <is>
          <t>Oct 15–21 (coating ads live)</t>
        </is>
      </c>
      <c r="B8" s="6" t="n">
        <v>2500</v>
      </c>
      <c r="C8" s="9" t="inlineStr"/>
      <c r="D8" s="7" t="inlineStr"/>
      <c r="E8" s="7" t="inlineStr"/>
      <c r="F8" s="7" t="inlineStr"/>
      <c r="G8" s="7" t="inlineStr"/>
      <c r="H8" s="8">
        <f>IF(OR(F8="",F8=0),"",G8/F8)</f>
        <v/>
      </c>
      <c r="I8" s="5">
        <f>IF(C8="","",IF(C8&gt;=B8,"On pace","Behind"))</f>
        <v/>
      </c>
    </row>
    <row r="9">
      <c r="A9" s="5" t="inlineStr">
        <is>
          <t>Oct 22–31</t>
        </is>
      </c>
      <c r="B9" s="6" t="n">
        <v>3000</v>
      </c>
      <c r="C9" s="9" t="inlineStr"/>
      <c r="D9" s="7" t="inlineStr"/>
      <c r="E9" s="7" t="inlineStr"/>
      <c r="F9" s="7" t="inlineStr"/>
      <c r="G9" s="7" t="inlineStr"/>
      <c r="H9" s="8">
        <f>IF(OR(F9="",F9=0),"",G9/F9)</f>
        <v/>
      </c>
      <c r="I9" s="5">
        <f>IF(C9="","",IF(C9&gt;=B9,"On pace","Behind"))</f>
        <v/>
      </c>
    </row>
    <row r="10">
      <c r="A10" s="10" t="inlineStr">
        <is>
          <t>TOTAL</t>
        </is>
      </c>
      <c r="B10" s="11">
        <f>SUM(B6:B9)</f>
        <v/>
      </c>
      <c r="C10" s="11">
        <f>SUM(C6:C9)</f>
        <v/>
      </c>
      <c r="D10" s="10">
        <f>SUM(D6:D9)</f>
        <v/>
      </c>
      <c r="E10" s="10">
        <f>SUM(E6:E9)</f>
        <v/>
      </c>
      <c r="F10" s="10">
        <f>SUM(F6:F9)</f>
        <v/>
      </c>
      <c r="G10" s="10">
        <f>SUM(G6:G9)</f>
        <v/>
      </c>
      <c r="H10" s="12">
        <f>IF(F10=0,"",G10/F10)</f>
        <v/>
      </c>
      <c r="I10" s="12">
        <f>IF(C10=0,"",C10/B10)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60" customWidth="1" min="3" max="3"/>
  </cols>
  <sheetData>
    <row r="1">
      <c r="A1" s="1" t="inlineStr">
        <is>
          <t>© 2026 Morgan / Coastline Auto Detailing. All rights reserved. Confidential — do not copy or share without written permission.</t>
        </is>
      </c>
    </row>
    <row r="2">
      <c r="A2" s="2" t="inlineStr">
        <is>
          <t>HOW TO CLOSE MORE LEADS</t>
        </is>
      </c>
    </row>
    <row r="3">
      <c r="A3" s="3" t="inlineStr">
        <is>
          <t>Full scripts are in the Closing Scripts sheet.</t>
        </is>
      </c>
    </row>
    <row r="5">
      <c r="A5" s="4" t="inlineStr">
        <is>
          <t>#</t>
        </is>
      </c>
      <c r="B5" s="4" t="inlineStr">
        <is>
          <t>Do this</t>
        </is>
      </c>
      <c r="C5" s="4" t="inlineStr">
        <is>
          <t>Why</t>
        </is>
      </c>
    </row>
    <row r="6">
      <c r="A6" s="5" t="n">
        <v>1</v>
      </c>
      <c r="B6" s="5" t="inlineStr">
        <is>
          <t>Reply to every lead in under 5 minutes</t>
        </is>
      </c>
      <c r="C6" s="5" t="inlineStr">
        <is>
          <t>The first detailer to answer usually gets the job.</t>
        </is>
      </c>
    </row>
    <row r="7">
      <c r="A7" s="5" t="n">
        <v>2</v>
      </c>
      <c r="B7" s="5" t="inlineStr">
        <is>
          <t>Call, don't just text</t>
        </is>
      </c>
      <c r="C7" s="5" t="inlineStr">
        <is>
          <t>A call closes more than a text thread. Text first, then call.</t>
        </is>
      </c>
    </row>
    <row r="8">
      <c r="A8" s="5" t="n">
        <v>3</v>
      </c>
      <c r="B8" s="5" t="inlineStr">
        <is>
          <t>Ask the year, make, model and what bugs them most</t>
        </is>
      </c>
      <c r="C8" s="5" t="inlineStr">
        <is>
          <t>Then sell the fix (pet hair, stains, smell).</t>
        </is>
      </c>
    </row>
    <row r="9">
      <c r="A9" s="5" t="n">
        <v>4</v>
      </c>
      <c r="B9" s="5" t="inlineStr">
        <is>
          <t>Give 2 time options</t>
        </is>
      </c>
      <c r="C9" s="5" t="inlineStr">
        <is>
          <t>“Thursday at 10 or Friday at 2?” makes it easy to say yes.</t>
        </is>
      </c>
    </row>
    <row r="10">
      <c r="A10" s="5" t="n">
        <v>5</v>
      </c>
      <c r="B10" s="5" t="inlineStr">
        <is>
          <t>Find the real objection</t>
        </is>
      </c>
      <c r="C10" s="5" t="inlineStr">
        <is>
          <t>“Is it the timing or the price?”</t>
        </is>
      </c>
    </row>
    <row r="11">
      <c r="A11" s="5" t="n">
        <v>6</v>
      </c>
      <c r="B11" s="5" t="inlineStr">
        <is>
          <t>Downsell, never discount</t>
        </is>
      </c>
      <c r="C11" s="5" t="inlineStr">
        <is>
          <t>Offer interior ($200) or exterior ($170) instead of a lower price.</t>
        </is>
      </c>
    </row>
    <row r="12">
      <c r="A12" s="5" t="n">
        <v>7</v>
      </c>
      <c r="B12" s="5" t="inlineStr">
        <is>
          <t>Send proof</t>
        </is>
      </c>
      <c r="C12" s="5" t="inlineStr">
        <is>
          <t>Before-and-after photos plus your Google review link.</t>
        </is>
      </c>
    </row>
    <row r="13">
      <c r="A13" s="5" t="n">
        <v>8</v>
      </c>
      <c r="B13" s="5" t="inlineStr">
        <is>
          <t>Say the guarantee</t>
        </is>
      </c>
      <c r="C13" s="5" t="inlineStr">
        <is>
          <t>“If anything's not right, we come back and fix it free.”</t>
        </is>
      </c>
    </row>
    <row r="14">
      <c r="A14" s="5" t="n">
        <v>9</v>
      </c>
      <c r="B14" s="5" t="inlineStr">
        <is>
          <t>Hold the spot with a deadline</t>
        </is>
      </c>
      <c r="C14" s="5" t="inlineStr">
        <is>
          <t>“I'll hold it until 8pm tonight. Reply YES to lock it in.”</t>
        </is>
      </c>
    </row>
    <row r="15">
      <c r="A15" s="5" t="n">
        <v>10</v>
      </c>
      <c r="B15" s="5" t="inlineStr">
        <is>
          <t>Follow up day 1, 3 and 7</t>
        </is>
      </c>
      <c r="C15" s="5" t="inlineStr">
        <is>
          <t>Most bookings come from follow-up. Automate it in GoHighLevel.</t>
        </is>
      </c>
    </row>
    <row r="16">
      <c r="A16" s="5" t="n">
        <v>11</v>
      </c>
      <c r="B16" s="5" t="inlineStr">
        <is>
          <t>Track every quote</t>
        </is>
      </c>
      <c r="C16" s="5" t="inlineStr">
        <is>
          <t>Use the Close Rate Tracker so you know what's working.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© 2026 Morgan / Coastline Auto Detailing. All rights reserved. Confidential — do not copy or share without written permission.</t>
        </is>
      </c>
    </row>
    <row r="2">
      <c r="A2" s="2" t="inlineStr">
        <is>
          <t>PRICE MANAGEMENT</t>
        </is>
      </c>
    </row>
    <row r="3">
      <c r="A3" s="3" t="inlineStr">
        <is>
          <t>You keep = price − tech pay − Rapid Reach fee. Margin fills in. Change any price to see the effect.</t>
        </is>
      </c>
    </row>
    <row r="5">
      <c r="A5" s="4" t="inlineStr">
        <is>
          <t>Service</t>
        </is>
      </c>
      <c r="B5" s="4" t="inlineStr">
        <is>
          <t>Price</t>
        </is>
      </c>
      <c r="C5" s="4" t="inlineStr">
        <is>
          <t>Tech pay</t>
        </is>
      </c>
      <c r="D5" s="4" t="inlineStr">
        <is>
          <t>Rapid Reach</t>
        </is>
      </c>
      <c r="E5" s="4" t="inlineStr">
        <is>
          <t>You keep</t>
        </is>
      </c>
      <c r="F5" s="4" t="inlineStr">
        <is>
          <t>Margin</t>
        </is>
      </c>
    </row>
    <row r="6">
      <c r="A6" s="5" t="inlineStr">
        <is>
          <t>Full detail</t>
        </is>
      </c>
      <c r="B6" s="6" t="n">
        <v>250</v>
      </c>
      <c r="C6" s="6" t="n">
        <v>85</v>
      </c>
      <c r="D6" s="6" t="n">
        <v>25</v>
      </c>
      <c r="E6" s="6">
        <f>B6-C6-D6</f>
        <v/>
      </c>
      <c r="F6" s="8">
        <f>IF(B6=0,"",E6/B6)</f>
        <v/>
      </c>
    </row>
    <row r="7">
      <c r="A7" s="5" t="inlineStr">
        <is>
          <t>Interior detail</t>
        </is>
      </c>
      <c r="B7" s="6" t="n">
        <v>200</v>
      </c>
      <c r="C7" s="6" t="n">
        <v>70</v>
      </c>
      <c r="D7" s="6" t="n">
        <v>25</v>
      </c>
      <c r="E7" s="6">
        <f>B7-C7-D7</f>
        <v/>
      </c>
      <c r="F7" s="8">
        <f>IF(B7=0,"",E7/B7)</f>
        <v/>
      </c>
    </row>
    <row r="8">
      <c r="A8" s="5" t="inlineStr">
        <is>
          <t>Exterior wash</t>
        </is>
      </c>
      <c r="B8" s="6" t="n">
        <v>170</v>
      </c>
      <c r="C8" s="6" t="n">
        <v>40</v>
      </c>
      <c r="D8" s="6" t="n">
        <v>25</v>
      </c>
      <c r="E8" s="6">
        <f>B8-C8-D8</f>
        <v/>
      </c>
      <c r="F8" s="8">
        <f>IF(B8=0,"",E8/B8)</f>
        <v/>
      </c>
    </row>
    <row r="9">
      <c r="A9" s="5" t="inlineStr">
        <is>
          <t>Winter Interior Reset (from Nov 1)</t>
        </is>
      </c>
      <c r="B9" s="6" t="n">
        <v>250</v>
      </c>
      <c r="C9" s="6" t="n">
        <v>70</v>
      </c>
      <c r="D9" s="6" t="n">
        <v>25</v>
      </c>
      <c r="E9" s="6">
        <f>B9-C9-D9</f>
        <v/>
      </c>
      <c r="F9" s="8">
        <f>IF(B9=0,"",E9/B9)</f>
        <v/>
      </c>
    </row>
    <row r="10">
      <c r="A10" s="5" t="inlineStr">
        <is>
          <t>New Year Reset (January)</t>
        </is>
      </c>
      <c r="B10" s="6" t="n">
        <v>199</v>
      </c>
      <c r="C10" s="6" t="n">
        <v>70</v>
      </c>
      <c r="D10" s="6" t="n">
        <v>25</v>
      </c>
      <c r="E10" s="6">
        <f>B10-C10-D10</f>
        <v/>
      </c>
      <c r="F10" s="8">
        <f>IF(B10=0,"",E10/B10)</f>
        <v/>
      </c>
    </row>
    <row r="11"/>
    <row r="12">
      <c r="A12" s="4" t="inlineStr">
        <is>
          <t>Add-on (suggested prices, set your own)</t>
        </is>
      </c>
      <c r="B12" s="4" t="inlineStr">
        <is>
          <t>Price</t>
        </is>
      </c>
      <c r="C12" t="inlineStr"/>
      <c r="D12" t="inlineStr"/>
      <c r="E12" t="inlineStr"/>
      <c r="F12" t="inlineStr"/>
    </row>
    <row r="13">
      <c r="A13" s="5" t="inlineStr">
        <is>
          <t>Pet hair removal</t>
        </is>
      </c>
      <c r="B13" s="6" t="n">
        <v>50</v>
      </c>
      <c r="C13" t="inlineStr"/>
      <c r="D13" t="inlineStr"/>
      <c r="E13" t="inlineStr"/>
      <c r="F13" t="inlineStr"/>
    </row>
    <row r="14">
      <c r="A14" s="5" t="inlineStr">
        <is>
          <t>Stain / seat extraction</t>
        </is>
      </c>
      <c r="B14" s="6" t="n">
        <v>50</v>
      </c>
      <c r="C14" t="inlineStr"/>
      <c r="D14" t="inlineStr"/>
      <c r="E14" t="inlineStr"/>
      <c r="F14" t="inlineStr"/>
    </row>
    <row r="15">
      <c r="A15" s="5" t="inlineStr">
        <is>
          <t>Odor (ozone) treatment</t>
        </is>
      </c>
      <c r="B15" s="6" t="n">
        <v>75</v>
      </c>
      <c r="C15" t="inlineStr"/>
      <c r="D15" t="inlineStr"/>
      <c r="E15" t="inlineStr"/>
      <c r="F15" t="inlineStr"/>
    </row>
    <row r="16">
      <c r="A16" s="5" t="inlineStr">
        <is>
          <t>Headlight restoration</t>
        </is>
      </c>
      <c r="B16" s="6" t="n">
        <v>75</v>
      </c>
      <c r="C16" t="inlineStr"/>
      <c r="D16" t="inlineStr"/>
      <c r="E16" t="inlineStr"/>
      <c r="F16" t="inlineStr"/>
    </row>
    <row r="17">
      <c r="A17" s="5" t="inlineStr">
        <is>
          <t>Engine bay clean</t>
        </is>
      </c>
      <c r="B17" s="6" t="n">
        <v>50</v>
      </c>
      <c r="C17" t="inlineStr"/>
      <c r="D17" t="inlineStr"/>
      <c r="E17" t="inlineStr"/>
      <c r="F17" t="inlineStr"/>
    </row>
    <row r="18">
      <c r="A18" s="5" t="inlineStr">
        <is>
          <t>SUV / truck size charge</t>
        </is>
      </c>
      <c r="B18" s="6" t="n">
        <v>25</v>
      </c>
      <c r="C18" t="inlineStr"/>
      <c r="D18" t="inlineStr"/>
      <c r="E18" t="inlineStr"/>
      <c r="F18" t="inlineStr"/>
    </row>
    <row r="19">
      <c r="A19" s="5" t="inlineStr">
        <is>
          <t>Heavy dirt / mud charge</t>
        </is>
      </c>
      <c r="B19" s="6" t="n">
        <v>50</v>
      </c>
      <c r="C19" t="inlineStr"/>
      <c r="D19" t="inlineStr"/>
      <c r="E19" t="inlineStr"/>
      <c r="F19" t="inlineStr"/>
    </row>
    <row r="20"/>
    <row r="21">
      <c r="A21" s="4" t="inlineStr">
        <is>
          <t>Price rule</t>
        </is>
      </c>
      <c r="B21" t="inlineStr"/>
      <c r="C21" t="inlineStr"/>
      <c r="D21" t="inlineStr"/>
      <c r="E21" t="inlineStr"/>
      <c r="F21" t="inlineStr"/>
    </row>
    <row r="22">
      <c r="A22" s="5" t="inlineStr">
        <is>
          <t>Never go below $170 for any job. Downsell to a smaller service instead of discounting.</t>
        </is>
      </c>
      <c r="B22" t="inlineStr"/>
      <c r="C22" t="inlineStr"/>
      <c r="D22" t="inlineStr"/>
      <c r="E22" t="inlineStr"/>
      <c r="F22" t="inlineStr"/>
    </row>
    <row r="23">
      <c r="A23" s="5" t="inlineStr">
        <is>
          <t>Charge more for SUVs, trucks, 3-row vehicles and heavy dirt. Say it before the job, not after.</t>
        </is>
      </c>
      <c r="B23" t="inlineStr"/>
      <c r="C23" t="inlineStr"/>
      <c r="D23" t="inlineStr"/>
      <c r="E23" t="inlineStr"/>
      <c r="F23" t="inlineStr"/>
    </row>
    <row r="24">
      <c r="A24" s="5" t="inlineStr">
        <is>
          <t>Raise prices $10–20 when you're 80%+ booked two weeks in a row.</t>
        </is>
      </c>
      <c r="B24" t="inlineStr"/>
      <c r="C24" t="inlineStr"/>
      <c r="D24" t="inlineStr"/>
      <c r="E24" t="inlineStr"/>
      <c r="F24" t="inlineStr"/>
    </row>
    <row r="25">
      <c r="A25" s="5" t="inlineStr">
        <is>
          <t>Specials always have an end date. Never lower your regular prices.</t>
        </is>
      </c>
      <c r="B25" t="inlineStr"/>
      <c r="C25" t="inlineStr"/>
      <c r="D25" t="inlineStr"/>
      <c r="E25" t="inlineStr"/>
      <c r="F25" t="inlineStr"/>
    </row>
    <row r="26">
      <c r="A26" s="5" t="inlineStr">
        <is>
          <t>Check your margin every month. Keep every service at 50%+ after tech pay and Rapid Reach.</t>
        </is>
      </c>
      <c r="B26" t="inlineStr"/>
      <c r="C26" t="inlineStr"/>
      <c r="D26" t="inlineStr"/>
      <c r="E26" t="inlineStr"/>
      <c r="F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60" customWidth="1" min="4" max="4"/>
  </cols>
  <sheetData>
    <row r="1">
      <c r="A1" s="1" t="inlineStr">
        <is>
          <t>© 2026 Morgan / Coastline Auto Detailing. All rights reserved. Confidential — do not copy or share without written permission.</t>
        </is>
      </c>
    </row>
    <row r="2">
      <c r="A2" s="2" t="inlineStr">
        <is>
          <t>EVERY TIME AN INVOICE GETS PAID: WHERE THE MONEY GOES</t>
        </is>
      </c>
    </row>
    <row r="3">
      <c r="A3" s="3" t="inlineStr">
        <is>
          <t>Type the invoice amount in yellow. Pay the tech and Rapid Reach first, then split what's left. Change the % to fit you.</t>
        </is>
      </c>
    </row>
    <row r="5">
      <c r="A5" s="5" t="inlineStr">
        <is>
          <t>Invoice amount</t>
        </is>
      </c>
      <c r="B5" s="13" t="n">
        <v>250</v>
      </c>
      <c r="C5" t="inlineStr"/>
      <c r="D5" s="5" t="inlineStr">
        <is>
          <t>Example: full detail</t>
        </is>
      </c>
    </row>
    <row r="6">
      <c r="A6" s="5" t="inlineStr">
        <is>
          <t>Tech pay</t>
        </is>
      </c>
      <c r="B6" s="13" t="n">
        <v>85</v>
      </c>
      <c r="C6" t="inlineStr"/>
      <c r="D6" s="5" t="inlineStr">
        <is>
          <t>Pay first</t>
        </is>
      </c>
    </row>
    <row r="7">
      <c r="A7" s="5" t="inlineStr">
        <is>
          <t>Rapid Reach fee</t>
        </is>
      </c>
      <c r="B7" s="13" t="n">
        <v>25</v>
      </c>
      <c r="C7" t="inlineStr"/>
      <c r="D7" s="5" t="inlineStr">
        <is>
          <t>Pay first</t>
        </is>
      </c>
    </row>
    <row r="8">
      <c r="A8" s="5" t="inlineStr">
        <is>
          <t>What's left (you keep)</t>
        </is>
      </c>
      <c r="B8" s="14">
        <f>B5-B6-B7</f>
        <v/>
      </c>
      <c r="C8" t="inlineStr"/>
      <c r="D8" t="inlineStr"/>
    </row>
    <row r="9"/>
    <row r="10">
      <c r="A10" s="4" t="inlineStr">
        <is>
          <t>Bucket</t>
        </is>
      </c>
      <c r="B10" s="4" t="inlineStr">
        <is>
          <t>% of what's left</t>
        </is>
      </c>
      <c r="C10" s="4" t="inlineStr">
        <is>
          <t>Amount</t>
        </is>
      </c>
      <c r="D10" s="4" t="inlineStr">
        <is>
          <t>What it's for</t>
        </is>
      </c>
    </row>
    <row r="11">
      <c r="A11" s="5" t="inlineStr">
        <is>
          <t>Taxes (separate savings account)</t>
        </is>
      </c>
      <c r="B11" s="8" t="n">
        <v>0.25</v>
      </c>
      <c r="C11" s="14">
        <f>$B$8*B11</f>
        <v/>
      </c>
      <c r="D11" s="5" t="inlineStr">
        <is>
          <t>Self-employment + income tax. Ask an accountant for your exact %.</t>
        </is>
      </c>
    </row>
    <row r="12">
      <c r="A12" s="5" t="inlineStr">
        <is>
          <t>Business: ads, supplies, gas, software</t>
        </is>
      </c>
      <c r="B12" s="8" t="n">
        <v>0.3</v>
      </c>
      <c r="C12" s="14">
        <f>$B$8*B12</f>
        <v/>
      </c>
      <c r="D12" s="5" t="inlineStr">
        <is>
          <t>Google/Meta ads, chemicals, towels, GoHighLevel.</t>
        </is>
      </c>
    </row>
    <row r="13">
      <c r="A13" s="5" t="inlineStr">
        <is>
          <t>Business savings / growth fund</t>
        </is>
      </c>
      <c r="B13" s="8" t="n">
        <v>0.15</v>
      </c>
      <c r="C13" s="14">
        <f>$B$8*B13</f>
        <v/>
      </c>
      <c r="D13" s="5" t="inlineStr">
        <is>
          <t>Emergencies, new equipment, coating supplies, hiring.</t>
        </is>
      </c>
    </row>
    <row r="14">
      <c r="A14" s="15" t="inlineStr">
        <is>
          <t>YOUR PAY: spend outside the business</t>
        </is>
      </c>
      <c r="B14" s="8" t="n">
        <v>0.3</v>
      </c>
      <c r="C14" s="16">
        <f>$B$8*B14</f>
        <v/>
      </c>
      <c r="D14" s="5" t="inlineStr">
        <is>
          <t>This is the money you can spend on yourself.</t>
        </is>
      </c>
    </row>
    <row r="15">
      <c r="A15" s="5" t="inlineStr">
        <is>
          <t>Total (must be 100%)</t>
        </is>
      </c>
      <c r="B15" s="8">
        <f>SUM(B11:B14)</f>
        <v/>
      </c>
      <c r="C15" s="14">
        <f>SUM(C11:C14)</f>
        <v/>
      </c>
      <c r="D15" t="inlineStr"/>
    </row>
    <row r="16"/>
    <row r="17">
      <c r="A17" s="5" t="inlineStr">
        <is>
          <t>Rules</t>
        </is>
      </c>
    </row>
    <row r="18">
      <c r="A18" s="5" t="inlineStr">
        <is>
          <t>Open a separate business checking account and a separate tax savings account if you don't have them.</t>
        </is>
      </c>
    </row>
    <row r="19">
      <c r="A19" s="5" t="inlineStr">
        <is>
          <t>Move the money the same day the invoice is paid, so you never spend tax money by accident.</t>
        </is>
      </c>
    </row>
    <row r="20">
      <c r="A20" s="5" t="inlineStr">
        <is>
          <t>Only spend 'Your pay' on personal things. Everything else stays in the business.</t>
        </is>
      </c>
    </row>
    <row r="21">
      <c r="A21" s="5" t="inlineStr">
        <is>
          <t>When revenue grows, keep the same %. Your pay grows with the business.</t>
        </is>
      </c>
    </row>
    <row r="22">
      <c r="A22" s="5" t="inlineStr">
        <is>
          <t>At a $10,000 month, about $5,400 is left after tech pay and Rapid Reach, so your pay is about $1,600.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10" customWidth="1" min="4" max="4"/>
  </cols>
  <sheetData>
    <row r="1">
      <c r="A1" s="1" t="inlineStr">
        <is>
          <t>© 2026 Morgan / Coastline Auto Detailing. All rights reserved. Confidential — do not copy or share without written permission.</t>
        </is>
      </c>
    </row>
    <row r="2">
      <c r="A2" s="2" t="inlineStr">
        <is>
          <t>MORE COMPANY GOALS FOR OCTOBER</t>
        </is>
      </c>
    </row>
    <row r="3">
      <c r="A3" s="3" t="inlineStr">
        <is>
          <t>Mark Done when finished.</t>
        </is>
      </c>
    </row>
    <row r="5">
      <c r="A5" s="4" t="inlineStr">
        <is>
          <t>Area</t>
        </is>
      </c>
      <c r="B5" s="4" t="inlineStr">
        <is>
          <t>Goal</t>
        </is>
      </c>
      <c r="C5" s="4" t="inlineStr">
        <is>
          <t>Due</t>
        </is>
      </c>
      <c r="D5" s="4" t="inlineStr">
        <is>
          <t>Done?</t>
        </is>
      </c>
    </row>
    <row r="6">
      <c r="A6" s="5" t="inlineStr">
        <is>
          <t>Marketing</t>
        </is>
      </c>
      <c r="B6" s="5" t="inlineStr">
        <is>
          <t>Launch Meta ceramic coating ads</t>
        </is>
      </c>
      <c r="C6" s="5" t="inlineStr">
        <is>
          <t>Oct 14</t>
        </is>
      </c>
      <c r="D6" t="inlineStr"/>
    </row>
    <row r="7">
      <c r="A7" s="5" t="inlineStr">
        <is>
          <t>Marketing</t>
        </is>
      </c>
      <c r="B7" s="5" t="inlineStr">
        <is>
          <t>Post a before-and-after every day on Instagram, TikTok, Facebook</t>
        </is>
      </c>
      <c r="C7" s="5" t="inlineStr">
        <is>
          <t>Daily</t>
        </is>
      </c>
      <c r="D7" t="inlineStr"/>
    </row>
    <row r="8">
      <c r="A8" s="5" t="inlineStr">
        <is>
          <t>Marketing</t>
        </is>
      </c>
      <c r="B8" s="5" t="inlineStr">
        <is>
          <t>Post a Google Business Profile update every week</t>
        </is>
      </c>
      <c r="C8" s="5" t="inlineStr">
        <is>
          <t>Weekly</t>
        </is>
      </c>
      <c r="D8" t="inlineStr"/>
    </row>
    <row r="9">
      <c r="A9" s="5" t="inlineStr">
        <is>
          <t>Marketing</t>
        </is>
      </c>
      <c r="B9" s="5" t="inlineStr">
        <is>
          <t>Build a GoHighLevel landing page for coatings</t>
        </is>
      </c>
      <c r="C9" s="5" t="inlineStr">
        <is>
          <t>Oct 10</t>
        </is>
      </c>
      <c r="D9" t="inlineStr"/>
    </row>
    <row r="10">
      <c r="A10" s="5" t="inlineStr">
        <is>
          <t>Sales</t>
        </is>
      </c>
      <c r="B10" s="5" t="inlineStr">
        <is>
          <t>All GoHighLevel automations live (instant text, reminders, reviews, follow-ups)</t>
        </is>
      </c>
      <c r="C10" s="5" t="inlineStr">
        <is>
          <t>Oct 15</t>
        </is>
      </c>
      <c r="D10" t="inlineStr"/>
    </row>
    <row r="11">
      <c r="A11" s="5" t="inlineStr">
        <is>
          <t>Sales</t>
        </is>
      </c>
      <c r="B11" s="5" t="inlineStr">
        <is>
          <t>Track every quote in the Close Rate Tracker</t>
        </is>
      </c>
      <c r="C11" s="5" t="inlineStr">
        <is>
          <t>Daily</t>
        </is>
      </c>
      <c r="D11" t="inlineStr"/>
    </row>
    <row r="12">
      <c r="A12" s="5" t="inlineStr">
        <is>
          <t>Sales</t>
        </is>
      </c>
      <c r="B12" s="5" t="inlineStr">
        <is>
          <t>Sign 1 fleet or dealership account</t>
        </is>
      </c>
      <c r="C12" s="5" t="inlineStr">
        <is>
          <t>Oct 31</t>
        </is>
      </c>
      <c r="D12" t="inlineStr"/>
    </row>
    <row r="13">
      <c r="A13" s="5" t="inlineStr">
        <is>
          <t>Team</t>
        </is>
      </c>
      <c r="B13" s="5" t="inlineStr">
        <is>
          <t>Train techs on paint correction and ceramic coating</t>
        </is>
      </c>
      <c r="C13" s="5" t="inlineStr">
        <is>
          <t>Oct 13</t>
        </is>
      </c>
      <c r="D13" t="inlineStr"/>
    </row>
    <row r="14">
      <c r="A14" s="5" t="inlineStr">
        <is>
          <t>Team</t>
        </is>
      </c>
      <c r="B14" s="5" t="inlineStr">
        <is>
          <t>Give every tech the job checklist and quality standard</t>
        </is>
      </c>
      <c r="C14" s="5" t="inlineStr">
        <is>
          <t>Oct 7</t>
        </is>
      </c>
      <c r="D14" t="inlineStr"/>
    </row>
    <row r="15">
      <c r="A15" s="5" t="inlineStr">
        <is>
          <t>Team</t>
        </is>
      </c>
      <c r="B15" s="5" t="inlineStr">
        <is>
          <t>Tech bonus for add-ons sold and reviews that name them</t>
        </is>
      </c>
      <c r="C15" s="5" t="inlineStr">
        <is>
          <t>Oct 1</t>
        </is>
      </c>
      <c r="D15" t="inlineStr"/>
    </row>
    <row r="16">
      <c r="A16" s="5" t="inlineStr">
        <is>
          <t>Money</t>
        </is>
      </c>
      <c r="B16" s="5" t="inlineStr">
        <is>
          <t>Separate business bank account + tax savings account</t>
        </is>
      </c>
      <c r="C16" s="5" t="inlineStr">
        <is>
          <t>Oct 7</t>
        </is>
      </c>
      <c r="D16" t="inlineStr"/>
    </row>
    <row r="17">
      <c r="A17" s="5" t="inlineStr">
        <is>
          <t>Money</t>
        </is>
      </c>
      <c r="B17" s="5" t="inlineStr">
        <is>
          <t>Split every invoice the same day (Invoice Split)</t>
        </is>
      </c>
      <c r="C17" s="5" t="inlineStr">
        <is>
          <t>Every job</t>
        </is>
      </c>
      <c r="D17" t="inlineStr"/>
    </row>
    <row r="18">
      <c r="A18" s="5" t="inlineStr">
        <is>
          <t>Money</t>
        </is>
      </c>
      <c r="B18" s="5" t="inlineStr">
        <is>
          <t>Log every job and expense in Jarvis</t>
        </is>
      </c>
      <c r="C18" s="5" t="inlineStr">
        <is>
          <t>Daily</t>
        </is>
      </c>
      <c r="D18" t="inlineStr"/>
    </row>
    <row r="19">
      <c r="A19" s="5" t="inlineStr">
        <is>
          <t>Money</t>
        </is>
      </c>
      <c r="B19" s="5" t="inlineStr">
        <is>
          <t>Set coating prices</t>
        </is>
      </c>
      <c r="C19" s="5" t="inlineStr">
        <is>
          <t>Oct 10</t>
        </is>
      </c>
      <c r="D19" t="inlineStr"/>
    </row>
    <row r="20">
      <c r="A20" s="5" t="inlineStr">
        <is>
          <t>Business</t>
        </is>
      </c>
      <c r="B20" s="5" t="inlineStr">
        <is>
          <t>Check insurance covers coatings and paint correction</t>
        </is>
      </c>
      <c r="C20" s="5" t="inlineStr">
        <is>
          <t>Oct 10</t>
        </is>
      </c>
      <c r="D20" t="inlineStr"/>
    </row>
    <row r="21">
      <c r="A21" s="5" t="inlineStr">
        <is>
          <t>Business</t>
        </is>
      </c>
      <c r="B21" s="5" t="inlineStr">
        <is>
          <t>Set up bookkeeping (monthly profit and loss)</t>
        </is>
      </c>
      <c r="C21" s="5" t="inlineStr">
        <is>
          <t>Oct 31</t>
        </is>
      </c>
      <c r="D21" t="inlineStr"/>
    </row>
    <row r="22">
      <c r="A22" s="5" t="inlineStr">
        <is>
          <t>You</t>
        </is>
      </c>
      <c r="B22" s="5" t="inlineStr">
        <is>
          <t>Eat 2,000 calories, drink 8 waters, sleep 7+ hours</t>
        </is>
      </c>
      <c r="C22" s="5" t="inlineStr">
        <is>
          <t>Daily</t>
        </is>
      </c>
      <c r="D22" t="inlineStr"/>
    </row>
    <row r="23">
      <c r="A23" s="5" t="inlineStr">
        <is>
          <t>You</t>
        </is>
      </c>
      <c r="B23" s="5" t="inlineStr">
        <is>
          <t>Learn 20 minutes a day (sales, marketing, business)</t>
        </is>
      </c>
      <c r="C23" s="5" t="inlineStr">
        <is>
          <t>Daily</t>
        </is>
      </c>
      <c r="D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2026-09-25T17:04:30Z</dcterms:created>
  <dcterms:modified xmlns:dcterms="http://purl.org/dc/terms/" xmlns:xsi="http://www.w3.org/2001/XMLSchema-instance" xsi:type="dcterms:W3CDTF">2026-09-25T17:04:30Z</dcterms:modified>
</cp:coreProperties>
</file>
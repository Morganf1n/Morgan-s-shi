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argets" sheetId="1" state="visible" r:id="rId1"/>
    <sheet xmlns:r="http://schemas.openxmlformats.org/officeDocument/2006/relationships" name="Marketing Goals" sheetId="2" state="visible" r:id="rId2"/>
    <sheet xmlns:r="http://schemas.openxmlformats.org/officeDocument/2006/relationships" name="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name val="Arial"/>
      <i val="1"/>
      <color rgb="00666666"/>
      <sz val="8"/>
    </font>
    <font>
      <name val="Arial"/>
      <b val="1"/>
      <color rgb="000F2330"/>
      <sz val="15"/>
    </font>
    <font>
      <name val="Arial"/>
      <i val="1"/>
      <color rgb="005B7380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E7775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9D6DB"/>
      </left>
      <right style="thin">
        <color rgb="00C9D6DB"/>
      </right>
      <top style="thin">
        <color rgb="00C9D6DB"/>
      </top>
      <bottom style="thin">
        <color rgb="00C9D6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3" customWidth="1" min="4" max="4"/>
    <col width="10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2" customWidth="1" min="12" max="12"/>
    <col width="14" customWidth="1" min="13" max="13"/>
    <col width="14" customWidth="1" min="14" max="14"/>
    <col width="11" customWidth="1" min="15" max="15"/>
    <col width="26" customWidth="1" min="16" max="16"/>
  </cols>
  <sheetData>
    <row r="1">
      <c r="A1" s="1" t="inlineStr">
        <is>
          <t>© 2026 Morgan / Coastline Auto Detailing. All rights reserved. Confidential — do not copy or share without written permission.</t>
        </is>
      </c>
    </row>
    <row r="2">
      <c r="A2" s="2" t="inlineStr">
        <is>
          <t>MONTH BY MONTH: SEPTEMBER TO DECEMBER 2026</t>
        </is>
      </c>
    </row>
    <row r="3">
      <c r="A3" s="3" t="inlineStr">
        <is>
          <t>Yellow = type your real numbers. Close rate, margin and progress fill in. Reviews start at 29 (Sep 26).</t>
        </is>
      </c>
    </row>
    <row r="5">
      <c r="A5" s="4" t="inlineStr">
        <is>
          <t>Month</t>
        </is>
      </c>
      <c r="B5" s="4" t="inlineStr">
        <is>
          <t>Revenue goal</t>
        </is>
      </c>
      <c r="C5" s="4" t="inlineStr">
        <is>
          <t>Stretch</t>
        </is>
      </c>
      <c r="D5" s="4" t="inlineStr">
        <is>
          <t>Actual revenue</t>
        </is>
      </c>
      <c r="E5" s="4" t="inlineStr">
        <is>
          <t>Progress</t>
        </is>
      </c>
      <c r="F5" s="4" t="inlineStr">
        <is>
          <t>Jobs goal</t>
        </is>
      </c>
      <c r="G5" s="4" t="inlineStr">
        <is>
          <t>Actual jobs</t>
        </is>
      </c>
      <c r="H5" s="4" t="inlineStr">
        <is>
          <t>Leads goal</t>
        </is>
      </c>
      <c r="I5" s="4" t="inlineStr">
        <is>
          <t>Actual leads</t>
        </is>
      </c>
      <c r="J5" s="4" t="inlineStr">
        <is>
          <t>Close rate</t>
        </is>
      </c>
      <c r="K5" s="4" t="inlineStr">
        <is>
          <t>Google reviews by month end (goal)</t>
        </is>
      </c>
      <c r="L5" s="4" t="inlineStr">
        <is>
          <t>Actual reviews</t>
        </is>
      </c>
      <c r="M5" s="4" t="inlineStr">
        <is>
          <t>Net profit goal (50%)</t>
        </is>
      </c>
      <c r="N5" s="4" t="inlineStr">
        <is>
          <t>Actual net profit</t>
        </is>
      </c>
      <c r="O5" s="4" t="inlineStr">
        <is>
          <t>Actual margin</t>
        </is>
      </c>
      <c r="P5" s="4" t="inlineStr">
        <is>
          <t>Ad budget (Meta + Google Search)</t>
        </is>
      </c>
    </row>
    <row r="6">
      <c r="A6" s="5" t="inlineStr">
        <is>
          <t>September</t>
        </is>
      </c>
      <c r="B6" s="6" t="n">
        <v>7000</v>
      </c>
      <c r="C6" s="6" t="n">
        <v>7000</v>
      </c>
      <c r="D6" s="7" t="n">
        <v>7000</v>
      </c>
      <c r="E6" s="8">
        <f>IF(D6="","",D6/B6)</f>
        <v/>
      </c>
      <c r="G6" s="9" t="inlineStr"/>
      <c r="I6" s="9" t="inlineStr"/>
      <c r="J6" s="8">
        <f>IF(OR(I6="",I6=0,G6=""),"",G6/I6)</f>
        <v/>
      </c>
      <c r="K6" s="5" t="n">
        <v>33</v>
      </c>
      <c r="L6" s="9" t="inlineStr"/>
      <c r="M6" s="6" t="n">
        <v>3500</v>
      </c>
      <c r="N6" s="10" t="inlineStr"/>
      <c r="O6" s="8">
        <f>IF(OR(D6="",N6=""),"",N6/D6)</f>
        <v/>
      </c>
      <c r="P6" s="5" t="inlineStr">
        <is>
          <t>Google LSA only</t>
        </is>
      </c>
    </row>
    <row r="7">
      <c r="A7" s="5" t="inlineStr">
        <is>
          <t>October</t>
        </is>
      </c>
      <c r="B7" s="6" t="n">
        <v>10000</v>
      </c>
      <c r="C7" s="6" t="n">
        <v>12000</v>
      </c>
      <c r="D7" s="7" t="n">
        <v>6456</v>
      </c>
      <c r="E7" s="8">
        <f>IF(D7="","",D7/B7)</f>
        <v/>
      </c>
      <c r="F7" s="5" t="n">
        <v>45</v>
      </c>
      <c r="G7" s="9" t="inlineStr"/>
      <c r="H7" s="5" t="n">
        <v>113</v>
      </c>
      <c r="I7" s="9" t="inlineStr"/>
      <c r="J7" s="8">
        <f>IF(OR(I7="",I7=0,G7=""),"",G7/I7)</f>
        <v/>
      </c>
      <c r="K7" s="5" t="n">
        <v>65</v>
      </c>
      <c r="L7" s="9" t="inlineStr"/>
      <c r="M7" s="6" t="n">
        <v>5000</v>
      </c>
      <c r="N7" s="10" t="inlineStr"/>
      <c r="O7" s="8">
        <f>IF(OR(D7="",N7=""),"",N7/D7)</f>
        <v/>
      </c>
      <c r="P7" s="5" t="inlineStr">
        <is>
          <t>Google LSA only (Meta dropped)</t>
        </is>
      </c>
    </row>
    <row r="8">
      <c r="A8" s="5" t="inlineStr">
        <is>
          <t>November</t>
        </is>
      </c>
      <c r="B8" s="6" t="n">
        <v>20000</v>
      </c>
      <c r="C8" s="6" t="n">
        <v>25000</v>
      </c>
      <c r="D8" s="10" t="inlineStr"/>
      <c r="E8" s="8">
        <f>IF(D8="","",D8/B8)</f>
        <v/>
      </c>
      <c r="F8" s="5" t="n">
        <v>83</v>
      </c>
      <c r="G8" s="9" t="inlineStr"/>
      <c r="H8" s="5" t="n">
        <v>210</v>
      </c>
      <c r="I8" s="9" t="inlineStr"/>
      <c r="J8" s="8">
        <f>IF(OR(I8="",I8=0,G8=""),"",G8/I8)</f>
        <v/>
      </c>
      <c r="K8" s="5" t="n">
        <v>95</v>
      </c>
      <c r="L8" s="9" t="inlineStr"/>
      <c r="M8" s="6" t="n">
        <v>10000</v>
      </c>
      <c r="N8" s="10" t="inlineStr"/>
      <c r="O8" s="8">
        <f>IF(OR(D8="",N8=""),"",N8/D8)</f>
        <v/>
      </c>
      <c r="P8" s="5" t="inlineStr">
        <is>
          <t>~$2,000</t>
        </is>
      </c>
    </row>
    <row r="9">
      <c r="A9" s="5" t="inlineStr">
        <is>
          <t>December</t>
        </is>
      </c>
      <c r="B9" s="6" t="n">
        <v>25000</v>
      </c>
      <c r="C9" s="6" t="n">
        <v>35000</v>
      </c>
      <c r="D9" s="10" t="inlineStr"/>
      <c r="E9" s="8">
        <f>IF(D9="","",D9/B9)</f>
        <v/>
      </c>
      <c r="F9" s="5" t="n">
        <v>100</v>
      </c>
      <c r="G9" s="9" t="inlineStr"/>
      <c r="H9" s="5" t="n">
        <v>250</v>
      </c>
      <c r="I9" s="9" t="inlineStr"/>
      <c r="J9" s="8">
        <f>IF(OR(I9="",I9=0,G9=""),"",G9/I9)</f>
        <v/>
      </c>
      <c r="K9" s="5" t="n">
        <v>125</v>
      </c>
      <c r="L9" s="9" t="inlineStr"/>
      <c r="M9" s="6" t="n">
        <v>12500</v>
      </c>
      <c r="N9" s="10" t="inlineStr"/>
      <c r="O9" s="8">
        <f>IF(OR(D9="",N9=""),"",N9/D9)</f>
        <v/>
      </c>
      <c r="P9" s="5" t="inlineStr">
        <is>
          <t>~$2,000 (PPC launches + LSA)</t>
        </is>
      </c>
    </row>
    <row r="10">
      <c r="A10" s="11" t="inlineStr">
        <is>
          <t>TOTAL Sep–Dec</t>
        </is>
      </c>
      <c r="B10" s="12">
        <f>SUM(B6:B9)</f>
        <v/>
      </c>
      <c r="C10" s="12">
        <f>SUM(C6:C9)</f>
        <v/>
      </c>
      <c r="D10" s="12">
        <f>SUM(D6:D9)</f>
        <v/>
      </c>
      <c r="E10" s="13">
        <f>IF(D10=0,"",D10/B10)</f>
        <v/>
      </c>
      <c r="F10" s="11">
        <f>SUM(F6:F9)</f>
        <v/>
      </c>
      <c r="G10" s="11">
        <f>SUM(G6:G9)</f>
        <v/>
      </c>
      <c r="H10" s="11">
        <f>SUM(H6:H9)</f>
        <v/>
      </c>
      <c r="I10" s="11">
        <f>SUM(I6:I9)</f>
        <v/>
      </c>
      <c r="J10" s="13">
        <f>IF(I10=0,"",G10/I10)</f>
        <v/>
      </c>
      <c r="K10" s="11" t="n">
        <v>125</v>
      </c>
      <c r="L10" s="11">
        <f>MAX(L6:L9)</f>
        <v/>
      </c>
      <c r="M10" s="12">
        <f>SUM(M6:M9)</f>
        <v/>
      </c>
      <c r="N10" s="12">
        <f>SUM(N6:N9)</f>
        <v/>
      </c>
      <c r="O10" s="13">
        <f>IF(OR(D10=0,N10=0),"",N10/D10)</f>
        <v/>
      </c>
      <c r="P10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2" customWidth="1" min="3" max="3"/>
    <col width="60" customWidth="1" min="4" max="4"/>
  </cols>
  <sheetData>
    <row r="1">
      <c r="A1" s="1" t="inlineStr">
        <is>
          <t>© 2026 Morgan / Coastline Auto Detailing. All rights reserved. Confidential — do not copy or share without written permission.</t>
        </is>
      </c>
    </row>
    <row r="2">
      <c r="A2" s="2" t="inlineStr">
        <is>
          <t>MARKETING GOALS BY DECEMBER 31, 2026</t>
        </is>
      </c>
    </row>
    <row r="3">
      <c r="A3" s="3" t="inlineStr">
        <is>
          <t>Type where you are now in the Actual column.</t>
        </is>
      </c>
    </row>
    <row r="5">
      <c r="A5" s="4" t="inlineStr">
        <is>
          <t>Goal</t>
        </is>
      </c>
      <c r="B5" s="4" t="inlineStr">
        <is>
          <t>Target by Dec 31</t>
        </is>
      </c>
      <c r="C5" s="4" t="inlineStr">
        <is>
          <t>Actual</t>
        </is>
      </c>
      <c r="D5" s="4" t="inlineStr">
        <is>
          <t>How</t>
        </is>
      </c>
    </row>
    <row r="6">
      <c r="A6" s="5" t="inlineStr">
        <is>
          <t>Google reviews</t>
        </is>
      </c>
      <c r="B6" s="5" t="inlineStr">
        <is>
          <t>125 total (stretch 150), 4.8★+</t>
        </is>
      </c>
      <c r="C6" s="5" t="inlineStr">
        <is>
          <t>29</t>
        </is>
      </c>
      <c r="D6" s="5" t="inlineStr">
        <is>
          <t>Text the review link within 1 hour of every job. About 1 a day.</t>
        </is>
      </c>
    </row>
    <row r="7">
      <c r="A7" s="5" t="inlineStr">
        <is>
          <t>Reply to every Google review</t>
        </is>
      </c>
      <c r="B7" s="5" t="inlineStr">
        <is>
          <t>100%</t>
        </is>
      </c>
      <c r="D7" s="5" t="inlineStr">
        <is>
          <t>Reply within 24 hours, good or bad.</t>
        </is>
      </c>
    </row>
    <row r="8">
      <c r="A8" s="5" t="inlineStr">
        <is>
          <t>Google Business Profile posts</t>
        </is>
      </c>
      <c r="B8" s="5" t="inlineStr">
        <is>
          <t>1 a week (14 posts)</t>
        </is>
      </c>
      <c r="D8" s="5" t="inlineStr">
        <is>
          <t>Post the current offer + before-and-afters.</t>
        </is>
      </c>
    </row>
    <row r="9">
      <c r="A9" s="5" t="inlineStr">
        <is>
          <t>Social posts (TikTok, Reels, Shorts, Facebook)</t>
        </is>
      </c>
      <c r="B9" s="5" t="inlineStr">
        <is>
          <t>1 a day (about 95)</t>
        </is>
      </c>
      <c r="D9" s="5" t="inlineStr">
        <is>
          <t>One before-and-after or hook video a day.</t>
        </is>
      </c>
    </row>
    <row r="10">
      <c r="A10" s="5" t="inlineStr">
        <is>
          <t>Reply time to new leads</t>
        </is>
      </c>
      <c r="B10" s="5" t="inlineStr">
        <is>
          <t>Under 5 minutes</t>
        </is>
      </c>
      <c r="D10" s="5" t="inlineStr">
        <is>
          <t>GoHighLevel instant text 24/7 + call.</t>
        </is>
      </c>
    </row>
    <row r="11">
      <c r="A11" s="5" t="inlineStr">
        <is>
          <t>Close rate</t>
        </is>
      </c>
      <c r="B11" s="5" t="inlineStr">
        <is>
          <t>40%+</t>
        </is>
      </c>
      <c r="D11" s="5" t="inlineStr">
        <is>
          <t>Close On The Spot sheet. Track every quote.</t>
        </is>
      </c>
    </row>
    <row r="12">
      <c r="A12" s="5" t="inlineStr">
        <is>
          <t>PPC + LSA ads (winter push)</t>
        </is>
      </c>
      <c r="B12" s="5" t="inlineStr">
        <is>
          <t>PPC live Dec, LSA ongoing</t>
        </is>
      </c>
      <c r="D12" s="5" t="inlineStr">
        <is>
          <t>LSA performing well as-is; PPC launches December instead of Meta.</t>
        </is>
      </c>
    </row>
    <row r="13">
      <c r="A13" s="5" t="inlineStr">
        <is>
          <t>Google Search ad (interior special)</t>
        </is>
      </c>
      <c r="B13" s="5" t="inlineStr">
        <is>
          <t>Live Nov 1</t>
        </is>
      </c>
      <c r="D13" s="5" t="inlineStr">
        <is>
          <t>$15–25/day, landing page in GoHighLevel.</t>
        </is>
      </c>
    </row>
    <row r="14">
      <c r="A14" s="5" t="inlineStr">
        <is>
          <t>Cost per booked job</t>
        </is>
      </c>
      <c r="B14" s="5" t="inlineStr">
        <is>
          <t>Under $40 interior, under $150 coating</t>
        </is>
      </c>
      <c r="D14" s="5" t="inlineStr">
        <is>
          <t>Cut ads that cost more after $50 spend.</t>
        </is>
      </c>
    </row>
    <row r="15">
      <c r="A15" s="5" t="inlineStr">
        <is>
          <t>Ceramic coatings sold</t>
        </is>
      </c>
      <c r="B15" s="5" t="inlineStr">
        <is>
          <t>10 (Oct 2, Nov 3, Dec 5)</t>
        </is>
      </c>
      <c r="D15" s="5" t="inlineStr">
        <is>
          <t>Pitch a coating after every detail.</t>
        </is>
      </c>
    </row>
    <row r="16">
      <c r="A16" s="5" t="inlineStr">
        <is>
          <t>Maintenance plan members</t>
        </is>
      </c>
      <c r="B16" s="5" t="inlineStr">
        <is>
          <t>10 by Dec 31 (launch Nov 1)</t>
        </is>
      </c>
      <c r="D16" s="5" t="inlineStr">
        <is>
          <t>Offer to every happy customer.</t>
        </is>
      </c>
    </row>
    <row r="17">
      <c r="A17" s="5" t="inlineStr">
        <is>
          <t>Fleet / dealership accounts</t>
        </is>
      </c>
      <c r="B17" s="5" t="inlineStr">
        <is>
          <t>1 signed</t>
        </is>
      </c>
      <c r="D17" s="5" t="inlineStr">
        <is>
          <t>Pitch 1 a week, push dealerships in December.</t>
        </is>
      </c>
    </row>
    <row r="18">
      <c r="A18" s="5" t="inlineStr">
        <is>
          <t>Past customers texted</t>
        </is>
      </c>
      <c r="B18" s="5" t="inlineStr">
        <is>
          <t>Every customer, every 60 days</t>
        </is>
      </c>
      <c r="D18" s="5" t="inlineStr">
        <is>
          <t>Reactivation automation in GoHighLevel.</t>
        </is>
      </c>
    </row>
    <row r="19">
      <c r="A19" s="5" t="inlineStr">
        <is>
          <t>Referrals</t>
        </is>
      </c>
      <c r="B19" s="5" t="inlineStr">
        <is>
          <t>10 referred jobs</t>
        </is>
      </c>
      <c r="D19" s="5" t="inlineStr">
        <is>
          <t>$25 off for both people.</t>
        </is>
      </c>
    </row>
    <row r="20">
      <c r="A20" s="5" t="inlineStr">
        <is>
          <t>Profit margin</t>
        </is>
      </c>
      <c r="B20" s="5" t="inlineStr">
        <is>
          <t>50%+ every month</t>
        </is>
      </c>
      <c r="D20" s="5" t="inlineStr">
        <is>
          <t>After tech pay, Rapid Reach, ads and supplies.</t>
        </is>
      </c>
    </row>
    <row r="21">
      <c r="A21" s="5" t="inlineStr">
        <is>
          <t>Technicians</t>
        </is>
      </c>
      <c r="B21" s="5" t="inlineStr">
        <is>
          <t>Hire 1–2 more if 80%+ booked 2 weeks in a row</t>
        </is>
      </c>
      <c r="C21" s="5" t="inlineStr">
        <is>
          <t>4</t>
        </is>
      </c>
      <c r="D21" s="5" t="inlineStr">
        <is>
          <t>Train everyone on coatings by Oct 13.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10" customWidth="1" min="3" max="3"/>
  </cols>
  <sheetData>
    <row r="1">
      <c r="A1" s="1" t="inlineStr">
        <is>
          <t>© 2026 Morgan / Coastline Auto Detailing. All rights reserved. Confidential — do not copy or share without written permission.</t>
        </is>
      </c>
    </row>
    <row r="2">
      <c r="A2" s="2" t="inlineStr">
        <is>
          <t>KEY DATES</t>
        </is>
      </c>
    </row>
    <row r="3">
      <c r="A3" s="3" t="inlineStr">
        <is>
          <t>Mark Done when finished.</t>
        </is>
      </c>
    </row>
    <row r="4"/>
    <row r="5">
      <c r="A5" s="4" t="inlineStr">
        <is>
          <t>Date</t>
        </is>
      </c>
      <c r="B5" s="4" t="inlineStr">
        <is>
          <t>What</t>
        </is>
      </c>
      <c r="C5" s="4" t="inlineStr">
        <is>
          <t>Done?</t>
        </is>
      </c>
    </row>
    <row r="6">
      <c r="A6" s="5" t="inlineStr">
        <is>
          <t>Sep 30</t>
        </is>
      </c>
      <c r="B6" s="5" t="inlineStr">
        <is>
          <t>Close September at $7,000+ (done). Log every job and expense.</t>
        </is>
      </c>
      <c r="C6" s="5" t="inlineStr">
        <is>
          <t>Done</t>
        </is>
      </c>
    </row>
    <row r="7">
      <c r="A7" s="5" t="inlineStr">
        <is>
          <t>Oct 1</t>
        </is>
      </c>
      <c r="B7" s="5" t="inlineStr">
        <is>
          <t>Separate business bank account + tax savings account. Start splitting every invoice.</t>
        </is>
      </c>
    </row>
    <row r="8">
      <c r="A8" s="5" t="inlineStr">
        <is>
          <t>Oct 3</t>
        </is>
      </c>
      <c r="B8" s="5" t="inlineStr">
        <is>
          <t>Former tech's $145 settlement finalized (paid back or taken from pay).</t>
        </is>
      </c>
    </row>
    <row r="9">
      <c r="A9" s="5" t="inlineStr">
        <is>
          <t>Oct 10</t>
        </is>
      </c>
      <c r="B9" s="5" t="inlineStr">
        <is>
          <t>Coating prices and packages set. Coating landing page built.</t>
        </is>
      </c>
    </row>
    <row r="10">
      <c r="A10" s="5" t="inlineStr">
        <is>
          <t>Oct 13</t>
        </is>
      </c>
      <c r="B10" s="5" t="inlineStr">
        <is>
          <t>All techs trained on coating prep and paint correction.</t>
        </is>
      </c>
    </row>
    <row r="11">
      <c r="A11" s="5" t="inlineStr">
        <is>
          <t>Oct 14</t>
        </is>
      </c>
      <c r="B11" s="5" t="inlineStr">
        <is>
          <t>(Scratched — Meta ads plan dropped. Keep closing leads from LSA for the rest of October.)</t>
        </is>
      </c>
    </row>
    <row r="12">
      <c r="A12" s="5" t="inlineStr">
        <is>
          <t>Oct 15</t>
        </is>
      </c>
      <c r="B12" s="5" t="inlineStr">
        <is>
          <t>All GoHighLevel automations live (instant text, missed-call, reminders, reviews, follow-ups).</t>
        </is>
      </c>
    </row>
    <row r="13">
      <c r="A13" s="5" t="inlineStr">
        <is>
          <t>Oct 31</t>
        </is>
      </c>
      <c r="B13" s="5" t="inlineStr">
        <is>
          <t>October closed at $10k–12k. 65 reviews.</t>
        </is>
      </c>
    </row>
    <row r="14">
      <c r="A14" s="5" t="inlineStr">
        <is>
          <t>Nov 1</t>
        </is>
      </c>
      <c r="B14" s="5" t="inlineStr">
        <is>
          <t>Winter Interior Reset ($250) + Google Search ad + maintenance plan launch.</t>
        </is>
      </c>
    </row>
    <row r="15">
      <c r="A15" s="5" t="inlineStr">
        <is>
          <t>Nov 27–30</t>
        </is>
      </c>
      <c r="B15" s="5" t="inlineStr">
        <is>
          <t>Black Friday gift card sale. Text every past customer.</t>
        </is>
      </c>
    </row>
    <row r="16">
      <c r="A16" s="5" t="inlineStr">
        <is>
          <t>Nov 30</t>
        </is>
      </c>
      <c r="B16" s="5" t="inlineStr">
        <is>
          <t>November closed at $20k. 95 reviews.</t>
        </is>
      </c>
    </row>
    <row r="17">
      <c r="A17" s="5" t="inlineStr">
        <is>
          <t>Dec 1–12</t>
        </is>
      </c>
      <c r="B17" s="5" t="inlineStr">
        <is>
          <t>UGA students and parents before winter break. Pitch dealerships.</t>
        </is>
      </c>
    </row>
    <row r="18">
      <c r="A18" s="5" t="inlineStr">
        <is>
          <t>Dec 22–24</t>
        </is>
      </c>
      <c r="B18" s="5" t="inlineStr">
        <is>
          <t>Last gift card push.</t>
        </is>
      </c>
    </row>
    <row r="19">
      <c r="A19" s="5" t="inlineStr">
        <is>
          <t>Dec 31</t>
        </is>
      </c>
      <c r="B19" s="5" t="inlineStr">
        <is>
          <t>December closed at $25k. 125 reviews. Write the 2027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2026-10-06T03:45:48Z</dcterms:created>
  <dcterms:modified xmlns:dcterms="http://purl.org/dc/terms/" xmlns:xsi="http://www.w3.org/2001/XMLSchema-instance" xsi:type="dcterms:W3CDTF">2026-10-25T15:38:16Z</dcterms:modified>
</cp:coreProperties>
</file>
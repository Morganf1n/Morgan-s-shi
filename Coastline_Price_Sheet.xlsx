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COASTLINE PRICE SHEET + PROFIT CALCULATOR</t>
        </is>
      </c>
    </row>
    <row r="2">
      <c r="A2" t="inlineStr">
        <is>
          <t>© 2026 Morgan / Coastline Auto Detailing. All rights reserved. Confidential — do not copy or share without written permission.</t>
        </is>
      </c>
    </row>
    <row r="3">
      <c r="A3" t="inlineStr">
        <is>
          <t>One service, one price. Yellow cells are yours to change. Updated Oct 26, 2026.</t>
        </is>
      </c>
    </row>
    <row r="5">
      <c r="A5" s="1" t="inlineStr">
        <is>
          <t>Setting</t>
        </is>
      </c>
      <c r="B5" t="inlineStr">
        <is>
          <t>Value</t>
        </is>
      </c>
    </row>
    <row r="6">
      <c r="A6" t="inlineStr">
        <is>
          <t>Full Detail price</t>
        </is>
      </c>
      <c r="B6" s="2" t="n">
        <v>315</v>
      </c>
    </row>
    <row r="7">
      <c r="A7" t="inlineStr">
        <is>
          <t>Rapid Reach fee per job (off the top)</t>
        </is>
      </c>
      <c r="B7" s="2" t="n">
        <v>25</v>
      </c>
    </row>
    <row r="8">
      <c r="A8" t="inlineStr">
        <is>
          <t>Subcontractor share</t>
        </is>
      </c>
      <c r="B8" s="2" t="n">
        <v>0.6</v>
      </c>
    </row>
    <row r="9">
      <c r="A9" t="inlineStr">
        <is>
          <t>Morgan share</t>
        </is>
      </c>
      <c r="B9">
        <f>1-B8</f>
        <v/>
      </c>
    </row>
    <row r="11">
      <c r="A11" s="1" t="inlineStr">
        <is>
          <t>PER JOB</t>
        </is>
      </c>
      <c r="B11" t="inlineStr">
        <is>
          <t>Amount</t>
        </is>
      </c>
    </row>
    <row r="12">
      <c r="A12" t="inlineStr">
        <is>
          <t>Customer pays</t>
        </is>
      </c>
      <c r="B12">
        <f>B6</f>
        <v/>
      </c>
    </row>
    <row r="13">
      <c r="A13" t="inlineStr">
        <is>
          <t>Rapid Reach fee</t>
        </is>
      </c>
      <c r="B13">
        <f>-B7</f>
        <v/>
      </c>
    </row>
    <row r="14">
      <c r="A14" t="inlineStr">
        <is>
          <t>Left to split</t>
        </is>
      </c>
      <c r="B14">
        <f>B6-B7</f>
        <v/>
      </c>
    </row>
    <row r="15">
      <c r="A15" t="inlineStr">
        <is>
          <t>Subcontractor (60%)</t>
        </is>
      </c>
      <c r="B15">
        <f>ROUND(B14*B8,2)</f>
        <v/>
      </c>
    </row>
    <row r="16">
      <c r="A16" t="inlineStr">
        <is>
          <t>Morgan keeps (40%)</t>
        </is>
      </c>
      <c r="B16">
        <f>ROUND(B14*B9,2)</f>
        <v/>
      </c>
    </row>
    <row r="17">
      <c r="A17" t="inlineStr">
        <is>
          <t>Morgan margin (of price)</t>
        </is>
      </c>
      <c r="B17">
        <f>B16/B6</f>
        <v/>
      </c>
    </row>
    <row r="19">
      <c r="A19" s="1" t="inlineStr">
        <is>
          <t>MONTHLY</t>
        </is>
      </c>
      <c r="B19" t="inlineStr">
        <is>
          <t>Revenue</t>
        </is>
      </c>
      <c r="C19" t="inlineStr">
        <is>
          <t>Jobs</t>
        </is>
      </c>
      <c r="D19" t="inlineStr">
        <is>
          <t>Paid to subs</t>
        </is>
      </c>
      <c r="E19" t="inlineStr">
        <is>
          <t>Rapid Reach</t>
        </is>
      </c>
      <c r="F19" t="inlineStr">
        <is>
          <t>Morgan keeps</t>
        </is>
      </c>
    </row>
    <row r="20">
      <c r="A20" t="inlineStr">
        <is>
          <t>$10,000 month</t>
        </is>
      </c>
      <c r="B20" t="n">
        <v>10000</v>
      </c>
      <c r="C20">
        <f>ROUNDUP(B20/$B$6,0)</f>
        <v/>
      </c>
      <c r="D20">
        <f>C20*$B$15</f>
        <v/>
      </c>
      <c r="E20">
        <f>C20*$B$7</f>
        <v/>
      </c>
      <c r="F20">
        <f>C20*$B$16</f>
        <v/>
      </c>
    </row>
    <row r="21">
      <c r="A21" t="inlineStr">
        <is>
          <t>$20,000 month</t>
        </is>
      </c>
      <c r="B21" t="n">
        <v>20000</v>
      </c>
      <c r="C21">
        <f>ROUNDUP(B21/$B$6,0)</f>
        <v/>
      </c>
      <c r="D21">
        <f>C21*$B$15</f>
        <v/>
      </c>
      <c r="E21">
        <f>C21*$B$7</f>
        <v/>
      </c>
      <c r="F21">
        <f>C21*$B$16</f>
        <v/>
      </c>
    </row>
    <row r="22">
      <c r="A22" t="inlineStr">
        <is>
          <t>$30,000 month</t>
        </is>
      </c>
      <c r="B22" t="n">
        <v>30000</v>
      </c>
      <c r="C22">
        <f>ROUNDUP(B22/$B$6,0)</f>
        <v/>
      </c>
      <c r="D22">
        <f>C22*$B$15</f>
        <v/>
      </c>
      <c r="E22">
        <f>C22*$B$7</f>
        <v/>
      </c>
      <c r="F22">
        <f>C22*$B$16</f>
        <v/>
      </c>
    </row>
    <row r="23">
      <c r="A23" t="inlineStr">
        <is>
          <t>$50,000 month</t>
        </is>
      </c>
      <c r="B23" t="n">
        <v>50000</v>
      </c>
      <c r="C23">
        <f>ROUNDUP(B23/$B$6,0)</f>
        <v/>
      </c>
      <c r="D23">
        <f>C23*$B$15</f>
        <v/>
      </c>
      <c r="E23">
        <f>C23*$B$7</f>
        <v/>
      </c>
      <c r="F23">
        <f>C23*$B$16</f>
        <v/>
      </c>
    </row>
    <row r="24">
      <c r="A24" t="inlineStr">
        <is>
          <t>$100,000 month</t>
        </is>
      </c>
      <c r="B24" t="n">
        <v>100000</v>
      </c>
      <c r="C24">
        <f>ROUNDUP(B24/$B$6,0)</f>
        <v/>
      </c>
      <c r="D24">
        <f>C24*$B$15</f>
        <v/>
      </c>
      <c r="E24">
        <f>C24*$B$7</f>
        <v/>
      </c>
      <c r="F24">
        <f>C24*$B$16</f>
        <v/>
      </c>
    </row>
    <row r="26">
      <c r="A26" t="inlineStr">
        <is>
          <t>EXTRAS (only if the car needs it; no Rapid Reach fee)</t>
        </is>
      </c>
      <c r="B26" t="inlineStr">
        <is>
          <t>Price</t>
        </is>
      </c>
      <c r="C26" t="inlineStr">
        <is>
          <t>Sub (60%)</t>
        </is>
      </c>
      <c r="D26" t="inlineStr">
        <is>
          <t>Morgan (40%)</t>
        </is>
      </c>
    </row>
    <row r="27">
      <c r="A27" t="inlineStr">
        <is>
          <t>Heavy pet hair</t>
        </is>
      </c>
      <c r="B27" t="n">
        <v>50</v>
      </c>
      <c r="C27">
        <f>B27*$B$8</f>
        <v/>
      </c>
      <c r="D27">
        <f>B27*$B$9</f>
        <v/>
      </c>
    </row>
    <row r="28">
      <c r="A28" t="inlineStr">
        <is>
          <t>Odor removal (ozone)</t>
        </is>
      </c>
      <c r="B28" t="n">
        <v>75</v>
      </c>
      <c r="C28">
        <f>B28*$B$8</f>
        <v/>
      </c>
      <c r="D28">
        <f>B28*$B$9</f>
        <v/>
      </c>
    </row>
    <row r="29">
      <c r="A29" t="inlineStr">
        <is>
          <t>Headlight restoration</t>
        </is>
      </c>
      <c r="B29" t="n">
        <v>75</v>
      </c>
      <c r="C29">
        <f>B29*$B$8</f>
        <v/>
      </c>
      <c r="D29">
        <f>B29*$B$9</f>
        <v/>
      </c>
    </row>
    <row r="30">
      <c r="A30" t="inlineStr">
        <is>
          <t>Clay bar + paint sealant (6 months)</t>
        </is>
      </c>
      <c r="B30" t="n">
        <v>99</v>
      </c>
      <c r="C30">
        <f>B30*$B$8</f>
        <v/>
      </c>
      <c r="D30">
        <f>B30*$B$9</f>
        <v/>
      </c>
    </row>
    <row r="31">
      <c r="A31" t="inlineStr">
        <is>
          <t>Heavy dirt / sand / mud</t>
        </is>
      </c>
      <c r="B31" t="n">
        <v>50</v>
      </c>
      <c r="C31">
        <f>B31*$B$8</f>
        <v/>
      </c>
      <c r="D31">
        <f>B31*$B$9</f>
        <v/>
      </c>
    </row>
    <row r="32">
      <c r="A32" t="inlineStr">
        <is>
          <t>Biohazard (from)</t>
        </is>
      </c>
      <c r="B32" t="n">
        <v>150</v>
      </c>
      <c r="C32">
        <f>B32*$B$8</f>
        <v/>
      </c>
      <c r="D32">
        <f>B32*$B$9</f>
        <v/>
      </c>
    </row>
    <row r="33">
      <c r="A33" t="inlineStr">
        <is>
          <t>Travel (45+ min)</t>
        </is>
      </c>
      <c r="B33" t="n">
        <v>35</v>
      </c>
      <c r="C33">
        <f>B33*$B$8</f>
        <v/>
      </c>
      <c r="D33">
        <f>B33*$B$9</f>
        <v/>
      </c>
    </row>
    <row r="35">
      <c r="A35" t="inlineStr">
        <is>
          <t>PRICE RULES</t>
        </is>
      </c>
    </row>
    <row r="36">
      <c r="A36" t="inlineStr">
        <is>
          <t>One price: $315 Full Detail. No packages.</t>
        </is>
      </c>
    </row>
    <row r="37">
      <c r="A37" t="inlineStr">
        <is>
          <t>Never discount. Heavy pet hair, dirt or biohazard is quoted before the job, never after.</t>
        </is>
      </c>
    </row>
    <row r="38">
      <c r="A38" t="inlineStr">
        <is>
          <t>Raise prices 5–10% a year with 30 days'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2026-10-26T16:41:59Z</dcterms:created>
  <dcterms:modified xmlns:dcterms="http://purl.org/dc/terms/" xmlns:xsi="http://www.w3.org/2001/XMLSchema-instance" xsi:type="dcterms:W3CDTF">2026-10-26T16:41:59Z</dcterms:modified>
</cp:coreProperties>
</file>
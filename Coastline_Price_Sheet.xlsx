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COASTLINE PRICE SHEET + PROFIT CALCULATOR</t>
        </is>
      </c>
    </row>
    <row r="2">
      <c r="A2" t="inlineStr">
        <is>
          <t>© 2026 Morgan / Coastline Auto Detailing. All rights reserved. Confidential — do not copy or share without written permission.</t>
        </is>
      </c>
    </row>
    <row r="3">
      <c r="A3" t="inlineStr">
        <is>
          <t>Two packages: Standard and Luxury. Yellow cells are yours to change. Updated Oct 31, 2026.</t>
        </is>
      </c>
    </row>
    <row r="5">
      <c r="A5" s="1" t="inlineStr">
        <is>
          <t>Setting</t>
        </is>
      </c>
      <c r="B5" t="inlineStr">
        <is>
          <t>Value</t>
        </is>
      </c>
    </row>
    <row r="6">
      <c r="A6" t="inlineStr">
        <is>
          <t>Rapid Reach fee per job (off the top)</t>
        </is>
      </c>
      <c r="B6" s="2" t="n">
        <v>25</v>
      </c>
    </row>
    <row r="7">
      <c r="A7" t="inlineStr">
        <is>
          <t>Subcontractor share (after fee)</t>
        </is>
      </c>
      <c r="B7" s="2" t="n">
        <v>0.6</v>
      </c>
    </row>
    <row r="9">
      <c r="A9" s="1" t="inlineStr">
        <is>
          <t>Package</t>
        </is>
      </c>
      <c r="B9" t="inlineStr">
        <is>
          <t>Vehicle</t>
        </is>
      </c>
      <c r="C9" t="inlineStr">
        <is>
          <t>Price</t>
        </is>
      </c>
      <c r="D9" t="inlineStr">
        <is>
          <t>Rapid Reach</t>
        </is>
      </c>
      <c r="E9" t="inlineStr">
        <is>
          <t>Sub gets (60%)</t>
        </is>
      </c>
      <c r="F9" t="inlineStr">
        <is>
          <t>You keep (40%)</t>
        </is>
      </c>
      <c r="G9" t="inlineStr">
        <is>
          <t>Margin</t>
        </is>
      </c>
      <c r="H9" t="inlineStr">
        <is>
          <t>Job mix</t>
        </is>
      </c>
    </row>
    <row r="10">
      <c r="A10" t="inlineStr">
        <is>
          <t>Standard</t>
        </is>
      </c>
      <c r="B10" t="inlineStr">
        <is>
          <t>Sedan</t>
        </is>
      </c>
      <c r="C10" s="2" t="n">
        <v>225</v>
      </c>
      <c r="D10">
        <f>$B$6</f>
        <v/>
      </c>
      <c r="E10">
        <f>ROUND((C10-D10)*$B$7,2)</f>
        <v/>
      </c>
      <c r="F10">
        <f>C10-D10-E10</f>
        <v/>
      </c>
      <c r="G10">
        <f>F10/C10</f>
        <v/>
      </c>
      <c r="H10" s="2" t="n">
        <v>0.28</v>
      </c>
    </row>
    <row r="11">
      <c r="A11" t="inlineStr">
        <is>
          <t>Standard</t>
        </is>
      </c>
      <c r="B11" t="inlineStr">
        <is>
          <t>SUV</t>
        </is>
      </c>
      <c r="C11" s="2" t="n">
        <v>250</v>
      </c>
      <c r="D11">
        <f>$B$6</f>
        <v/>
      </c>
      <c r="E11">
        <f>ROUND((C11-D11)*$B$7,2)</f>
        <v/>
      </c>
      <c r="F11">
        <f>C11-D11-E11</f>
        <v/>
      </c>
      <c r="G11">
        <f>F11/C11</f>
        <v/>
      </c>
      <c r="H11" s="2" t="n">
        <v>0.28</v>
      </c>
    </row>
    <row r="12">
      <c r="A12" t="inlineStr">
        <is>
          <t>Standard</t>
        </is>
      </c>
      <c r="B12" t="inlineStr">
        <is>
          <t>Truck / 3-row</t>
        </is>
      </c>
      <c r="C12" s="2" t="n">
        <v>275</v>
      </c>
      <c r="D12">
        <f>$B$6</f>
        <v/>
      </c>
      <c r="E12">
        <f>ROUND((C12-D12)*$B$7,2)</f>
        <v/>
      </c>
      <c r="F12">
        <f>C12-D12-E12</f>
        <v/>
      </c>
      <c r="G12">
        <f>F12/C12</f>
        <v/>
      </c>
      <c r="H12" s="2" t="n">
        <v>0.14</v>
      </c>
    </row>
    <row r="13">
      <c r="A13" t="inlineStr">
        <is>
          <t>Luxury</t>
        </is>
      </c>
      <c r="B13" t="inlineStr">
        <is>
          <t>Sedan</t>
        </is>
      </c>
      <c r="C13" s="2" t="n">
        <v>349</v>
      </c>
      <c r="D13">
        <f>$B$6</f>
        <v/>
      </c>
      <c r="E13">
        <f>ROUND((C13-D13)*$B$7,2)</f>
        <v/>
      </c>
      <c r="F13">
        <f>C13-D13-E13</f>
        <v/>
      </c>
      <c r="G13">
        <f>F13/C13</f>
        <v/>
      </c>
      <c r="H13" s="2" t="n">
        <v>0.12</v>
      </c>
    </row>
    <row r="14">
      <c r="A14" t="inlineStr">
        <is>
          <t>Luxury</t>
        </is>
      </c>
      <c r="B14" t="inlineStr">
        <is>
          <t>SUV</t>
        </is>
      </c>
      <c r="C14" s="2" t="n">
        <v>379</v>
      </c>
      <c r="D14">
        <f>$B$6</f>
        <v/>
      </c>
      <c r="E14">
        <f>ROUND((C14-D14)*$B$7,2)</f>
        <v/>
      </c>
      <c r="F14">
        <f>C14-D14-E14</f>
        <v/>
      </c>
      <c r="G14">
        <f>F14/C14</f>
        <v/>
      </c>
      <c r="H14" s="2" t="n">
        <v>0.12</v>
      </c>
    </row>
    <row r="15">
      <c r="A15" t="inlineStr">
        <is>
          <t>Luxury</t>
        </is>
      </c>
      <c r="B15" t="inlineStr">
        <is>
          <t>Truck / 3-row</t>
        </is>
      </c>
      <c r="C15" s="2" t="n">
        <v>399</v>
      </c>
      <c r="D15">
        <f>$B$6</f>
        <v/>
      </c>
      <c r="E15">
        <f>ROUND((C15-D15)*$B$7,2)</f>
        <v/>
      </c>
      <c r="F15">
        <f>C15-D15-E15</f>
        <v/>
      </c>
      <c r="G15">
        <f>F15/C15</f>
        <v/>
      </c>
      <c r="H15" s="2" t="n">
        <v>0.06</v>
      </c>
    </row>
    <row r="17">
      <c r="A17" t="inlineStr">
        <is>
          <t>Average ticket (by job mix)</t>
        </is>
      </c>
      <c r="B17">
        <f>SUMPRODUCT(C10:C15,H10:H15)</f>
        <v/>
      </c>
    </row>
    <row r="18">
      <c r="A18" t="inlineStr">
        <is>
          <t>Average you keep per job</t>
        </is>
      </c>
      <c r="B18">
        <f>SUMPRODUCT(F10:F15,H10:H15)</f>
        <v/>
      </c>
    </row>
    <row r="20">
      <c r="A20" s="1" t="inlineStr">
        <is>
          <t>Monthly revenue</t>
        </is>
      </c>
      <c r="B20" t="inlineStr">
        <is>
          <t>Jobs</t>
        </is>
      </c>
      <c r="C20" t="inlineStr">
        <is>
          <t>You keep</t>
        </is>
      </c>
    </row>
    <row r="21">
      <c r="A21" t="n">
        <v>10000</v>
      </c>
      <c r="B21">
        <f>ROUNDUP(A21/$B$17,0)</f>
        <v/>
      </c>
      <c r="C21">
        <f>ROUND(B21*$B$18,0)</f>
        <v/>
      </c>
    </row>
    <row r="22">
      <c r="A22" t="n">
        <v>20000</v>
      </c>
      <c r="B22">
        <f>ROUNDUP(A22/$B$17,0)</f>
        <v/>
      </c>
      <c r="C22">
        <f>ROUND(B22*$B$18,0)</f>
        <v/>
      </c>
    </row>
    <row r="23">
      <c r="A23" t="n">
        <v>30000</v>
      </c>
      <c r="B23">
        <f>ROUNDUP(A23/$B$17,0)</f>
        <v/>
      </c>
      <c r="C23">
        <f>ROUND(B23*$B$18,0)</f>
        <v/>
      </c>
    </row>
    <row r="24">
      <c r="A24" t="n">
        <v>50000</v>
      </c>
      <c r="B24">
        <f>ROUNDUP(A24/$B$17,0)</f>
        <v/>
      </c>
      <c r="C24">
        <f>ROUND(B24*$B$18,0)</f>
        <v/>
      </c>
    </row>
    <row r="25">
      <c r="A25" t="n">
        <v>100000</v>
      </c>
      <c r="B25">
        <f>ROUNDUP(A25/$B$17,0)</f>
        <v/>
      </c>
      <c r="C25">
        <f>ROUND(B25*$B$18,0)</f>
        <v/>
      </c>
    </row>
    <row r="27">
      <c r="A27" s="1" t="inlineStr">
        <is>
          <t>WHAT'S INCLUDED</t>
        </is>
      </c>
    </row>
    <row r="28">
      <c r="A28" t="inlineStr">
        <is>
          <t>Standard</t>
        </is>
      </c>
      <c r="B28" t="inlineStr">
        <is>
          <t>Inside: full vacuum (seats, carpets, trunk), seats and carpets spot-treated, dash, console, doors and vents cleaned and protected, door jambs, inside windows, floor mats. Outside: hand wash, wheels, tires and wheel wells, tire shine, bug and tar removal, windows, spray sealant.</t>
        </is>
      </c>
    </row>
    <row r="29">
      <c r="A29" t="inlineStr">
        <is>
          <t>Luxury</t>
        </is>
      </c>
      <c r="B29" t="inlineStr">
        <is>
          <t>Everything in Standard, plus deep shampoo of all seats, carpets and floor mats; leather cleaned and conditioned; hand wax buffed to a deep shine (1–2 months protection); trim restored; engine bay cleaned.</t>
        </is>
      </c>
    </row>
    <row r="31">
      <c r="A31" s="1" t="inlineStr">
        <is>
          <t>ADD-ONS (no Rapid Reach fee; get a yes before starting)</t>
        </is>
      </c>
      <c r="B31" t="inlineStr">
        <is>
          <t>Price</t>
        </is>
      </c>
      <c r="C31" t="inlineStr">
        <is>
          <t>Sub (60%)</t>
        </is>
      </c>
      <c r="D31" t="inlineStr">
        <is>
          <t>You (40%)</t>
        </is>
      </c>
    </row>
    <row r="32">
      <c r="A32" t="inlineStr">
        <is>
          <t>Pet hair removal</t>
        </is>
      </c>
      <c r="B32" t="n">
        <v>50</v>
      </c>
      <c r="C32">
        <f>B32*$B$7</f>
        <v/>
      </c>
      <c r="D32">
        <f>B32*(1-$B$7)</f>
        <v/>
      </c>
    </row>
    <row r="33">
      <c r="A33" t="inlineStr">
        <is>
          <t>Heavy pet hair</t>
        </is>
      </c>
      <c r="B33" t="n">
        <v>100</v>
      </c>
      <c r="C33">
        <f>B33*$B$7</f>
        <v/>
      </c>
      <c r="D33">
        <f>B33*(1-$B$7)</f>
        <v/>
      </c>
    </row>
    <row r="34">
      <c r="A34" t="inlineStr">
        <is>
          <t>Odor removal (ozone)</t>
        </is>
      </c>
      <c r="B34" t="n">
        <v>75</v>
      </c>
      <c r="C34">
        <f>B34*$B$7</f>
        <v/>
      </c>
      <c r="D34">
        <f>B34*(1-$B$7)</f>
        <v/>
      </c>
    </row>
    <row r="35">
      <c r="A35" t="inlineStr">
        <is>
          <t>Headlight restoration</t>
        </is>
      </c>
      <c r="B35" t="n">
        <v>75</v>
      </c>
      <c r="C35">
        <f>B35*$B$7</f>
        <v/>
      </c>
      <c r="D35">
        <f>B35*(1-$B$7)</f>
        <v/>
      </c>
    </row>
    <row r="36">
      <c r="A36" t="inlineStr">
        <is>
          <t>Clay bar + paint sealant (6 months)</t>
        </is>
      </c>
      <c r="B36" t="n">
        <v>99</v>
      </c>
      <c r="C36">
        <f>B36*$B$7</f>
        <v/>
      </c>
      <c r="D36">
        <f>B36*(1-$B$7)</f>
        <v/>
      </c>
    </row>
    <row r="37">
      <c r="A37" t="inlineStr">
        <is>
          <t>Heavy dirt / sand / mud</t>
        </is>
      </c>
      <c r="B37" t="n">
        <v>50</v>
      </c>
      <c r="C37">
        <f>B37*$B$7</f>
        <v/>
      </c>
      <c r="D37">
        <f>B37*(1-$B$7)</f>
        <v/>
      </c>
    </row>
    <row r="38">
      <c r="A38" t="inlineStr">
        <is>
          <t>Biohazard (from)</t>
        </is>
      </c>
      <c r="B38" t="n">
        <v>150</v>
      </c>
      <c r="C38">
        <f>B38*$B$7</f>
        <v/>
      </c>
      <c r="D38">
        <f>B38*(1-$B$7)</f>
        <v/>
      </c>
    </row>
    <row r="39">
      <c r="A39" t="inlineStr">
        <is>
          <t>Travel (45+ min)</t>
        </is>
      </c>
      <c r="B39" t="n">
        <v>35</v>
      </c>
      <c r="C39">
        <f>B39*$B$7</f>
        <v/>
      </c>
      <c r="D39">
        <f>B39*(1-$B$7)</f>
        <v/>
      </c>
    </row>
    <row r="41">
      <c r="A41" t="inlineStr">
        <is>
          <t>PRICE RULES</t>
        </is>
      </c>
    </row>
    <row r="42">
      <c r="A42" t="inlineStr">
        <is>
          <t>Two packages only: Standard and Luxury. Pitch Luxury first, step down to Standard.</t>
        </is>
      </c>
    </row>
    <row r="43">
      <c r="A43" t="inlineStr">
        <is>
          <t>Always ask the year, make and model before quoting.</t>
        </is>
      </c>
    </row>
    <row r="44">
      <c r="A44" t="inlineStr">
        <is>
          <t>Never go below Standard. If they can't afford it, offer to keep them on the list for a special.</t>
        </is>
      </c>
    </row>
    <row r="45">
      <c r="A45" t="inlineStr">
        <is>
          <t>Add-ons: walk around the car, quote from this list, get a yes BEFORE starting. Never charge after the job.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2026-10-31T19:18:20Z</dcterms:created>
  <dcterms:modified xmlns:dcterms="http://purl.org/dc/terms/" xmlns:xsi="http://www.w3.org/2001/XMLSchema-instance" xsi:type="dcterms:W3CDTF">2026-10-31T19:18:20Z</dcterms:modified>
</cp:coreProperties>
</file>
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0F2330"/>
      <sz val="15"/>
    </font>
    <font>
      <name val="Arial"/>
      <i val="1"/>
      <color rgb="00666666"/>
      <sz val="8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E7775"/>
      </patternFill>
    </fill>
    <fill>
      <patternFill patternType="solid">
        <fgColor rgb="00FFF4C2"/>
      </patternFill>
    </fill>
  </fills>
  <borders count="2">
    <border>
      <left/>
      <right/>
      <top/>
      <bottom/>
      <diagonal/>
    </border>
    <border>
      <left style="thin">
        <color rgb="00C9D6DB"/>
      </left>
      <right style="thin">
        <color rgb="00C9D6DB"/>
      </right>
      <top style="thin">
        <color rgb="00C9D6DB"/>
      </top>
      <bottom style="thin">
        <color rgb="00C9D6D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9" fontId="1" fillId="3" borderId="0" applyAlignment="1" pivotButton="0" quotePrefix="0" xfId="0">
      <alignment vertical="top" wrapText="1"/>
    </xf>
    <xf numFmtId="164" fontId="1" fillId="3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164" fontId="1" fillId="3" borderId="1" applyAlignment="1" pivotButton="0" quotePrefix="0" xfId="0">
      <alignment vertical="top" wrapText="1"/>
    </xf>
    <xf numFmtId="164" fontId="1" fillId="0" borderId="1" applyAlignment="1" pivotButton="0" quotePrefix="0" xfId="0">
      <alignment vertical="top" wrapText="1"/>
    </xf>
    <xf numFmtId="9" fontId="1" fillId="0" borderId="1" applyAlignment="1" pivotButton="0" quotePrefix="0" xfId="0">
      <alignment vertical="top" wrapText="1"/>
    </xf>
    <xf numFmtId="164" fontId="0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9" customWidth="1" min="3" max="3"/>
    <col width="10" customWidth="1" min="4" max="4"/>
    <col width="11" customWidth="1" min="5" max="5"/>
    <col width="10" customWidth="1" min="6" max="6"/>
    <col width="8" customWidth="1" min="7" max="7"/>
    <col width="10" customWidth="1" min="8" max="8"/>
    <col width="12" customWidth="1" min="9" max="9"/>
    <col width="16" customWidth="1" min="10" max="10"/>
    <col width="30" customWidth="1" min="11" max="11"/>
  </cols>
  <sheetData>
    <row r="1">
      <c r="A1" s="1" t="inlineStr">
        <is>
          <t>COASTLINE PRICE SHEET + PROFIT CALCULATOR</t>
        </is>
      </c>
    </row>
    <row r="2">
      <c r="A2" s="2" t="inlineStr">
        <is>
          <t>© 2026 Morgan / Coastline Auto Detailing. All rights reserved. Confidential — do not copy or share without written permission.</t>
        </is>
      </c>
    </row>
    <row r="3">
      <c r="A3" s="3" t="inlineStr">
        <is>
          <t>Yellow cells are yours to change. Everything else calculates. Supplies and ads are estimates; adjust them to your real numbers.</t>
        </is>
      </c>
    </row>
    <row r="4"/>
    <row r="5">
      <c r="A5" s="3" t="inlineStr">
        <is>
          <t>Ads (% of price)</t>
        </is>
      </c>
      <c r="B5" s="4" t="n">
        <v>0.1</v>
      </c>
      <c r="C5" t="inlineStr"/>
      <c r="D5" s="3" t="inlineStr">
        <is>
          <t>Google + Meta spend as a share of each job</t>
        </is>
      </c>
    </row>
    <row r="6">
      <c r="A6" s="3" t="inlineStr">
        <is>
          <t>Rapid Reach fee per job</t>
        </is>
      </c>
      <c r="B6" s="5" t="n">
        <v>25</v>
      </c>
      <c r="C6" t="inlineStr"/>
      <c r="D6" s="3" t="inlineStr">
        <is>
          <t>Paid on every completed main service</t>
        </is>
      </c>
    </row>
    <row r="7">
      <c r="A7" s="3" t="inlineStr">
        <is>
          <t>Target profit margin</t>
        </is>
      </c>
      <c r="B7" s="4" t="n">
        <v>0.4</v>
      </c>
      <c r="C7" t="inlineStr"/>
      <c r="D7" s="3" t="inlineStr">
        <is>
          <t>What you want to keep after everything</t>
        </is>
      </c>
    </row>
    <row r="8"/>
    <row r="9">
      <c r="A9" s="3" t="inlineStr">
        <is>
          <t>MAIN SERVICES</t>
        </is>
      </c>
    </row>
    <row r="10">
      <c r="A10" s="6" t="inlineStr">
        <is>
          <t>Service</t>
        </is>
      </c>
      <c r="B10" s="6" t="inlineStr">
        <is>
          <t>Vehicle size</t>
        </is>
      </c>
      <c r="C10" s="6" t="inlineStr">
        <is>
          <t>Price</t>
        </is>
      </c>
      <c r="D10" s="6" t="inlineStr">
        <is>
          <t>Tech pay</t>
        </is>
      </c>
      <c r="E10" s="6" t="inlineStr">
        <is>
          <t>Rapid Reach</t>
        </is>
      </c>
      <c r="F10" s="6" t="inlineStr">
        <is>
          <t>Supplies</t>
        </is>
      </c>
      <c r="G10" s="6" t="inlineStr">
        <is>
          <t>Ads</t>
        </is>
      </c>
      <c r="H10" s="6" t="inlineStr">
        <is>
          <t>You keep</t>
        </is>
      </c>
      <c r="I10" s="6" t="inlineStr">
        <is>
          <t>Profit margin</t>
        </is>
      </c>
      <c r="J10" s="6" t="inlineStr">
        <is>
          <t>Lowest price for target margin</t>
        </is>
      </c>
      <c r="K10" s="6" t="inlineStr">
        <is>
          <t>Status</t>
        </is>
      </c>
    </row>
    <row r="11">
      <c r="A11" s="7" t="inlineStr">
        <is>
          <t>Full detail</t>
        </is>
      </c>
      <c r="B11" s="7" t="inlineStr">
        <is>
          <t>Car / sedan</t>
        </is>
      </c>
      <c r="C11" s="8" t="n">
        <v>275</v>
      </c>
      <c r="D11" s="8" t="n">
        <v>85</v>
      </c>
      <c r="E11" s="9">
        <f>$B$6</f>
        <v/>
      </c>
      <c r="F11" s="8" t="n">
        <v>15</v>
      </c>
      <c r="G11" s="9">
        <f>ROUND(C11*$B$5,0)</f>
        <v/>
      </c>
      <c r="H11" s="9">
        <f>C11-D11-E11-F11-G11</f>
        <v/>
      </c>
      <c r="I11" s="10">
        <f>IF(C11=0,"",H11/C11)</f>
        <v/>
      </c>
      <c r="J11" s="9">
        <f>ROUNDUP((D11+E11+F11)/(1-$B$5-$B$7),0)</f>
        <v/>
      </c>
      <c r="K11" s="7">
        <f>IF(C11&gt;=J11,"Profitable","Too low")</f>
        <v/>
      </c>
    </row>
    <row r="12">
      <c r="A12" s="7" t="inlineStr">
        <is>
          <t>Full detail</t>
        </is>
      </c>
      <c r="B12" s="7" t="inlineStr">
        <is>
          <t>SUV / truck</t>
        </is>
      </c>
      <c r="C12" s="8" t="n">
        <v>299</v>
      </c>
      <c r="D12" s="8" t="n">
        <v>95</v>
      </c>
      <c r="E12" s="9">
        <f>$B$6</f>
        <v/>
      </c>
      <c r="F12" s="8" t="n">
        <v>18</v>
      </c>
      <c r="G12" s="9">
        <f>ROUND(C12*$B$5,0)</f>
        <v/>
      </c>
      <c r="H12" s="9">
        <f>C12-D12-E12-F12-G12</f>
        <v/>
      </c>
      <c r="I12" s="10">
        <f>IF(C12=0,"",H12/C12)</f>
        <v/>
      </c>
      <c r="J12" s="9">
        <f>ROUNDUP((D12+E12+F12)/(1-$B$5-$B$7),0)</f>
        <v/>
      </c>
      <c r="K12" s="7">
        <f>IF(C12&gt;=J12,"Profitable","Too low")</f>
        <v/>
      </c>
    </row>
    <row r="13">
      <c r="A13" s="7" t="inlineStr">
        <is>
          <t>Full detail</t>
        </is>
      </c>
      <c r="B13" s="7" t="inlineStr">
        <is>
          <t>3-row / minivan</t>
        </is>
      </c>
      <c r="C13" s="8" t="n">
        <v>325</v>
      </c>
      <c r="D13" s="8" t="n">
        <v>100</v>
      </c>
      <c r="E13" s="9">
        <f>$B$6</f>
        <v/>
      </c>
      <c r="F13" s="8" t="n">
        <v>20</v>
      </c>
      <c r="G13" s="9">
        <f>ROUND(C13*$B$5,0)</f>
        <v/>
      </c>
      <c r="H13" s="9">
        <f>C13-D13-E13-F13-G13</f>
        <v/>
      </c>
      <c r="I13" s="10">
        <f>IF(C13=0,"",H13/C13)</f>
        <v/>
      </c>
      <c r="J13" s="9">
        <f>ROUNDUP((D13+E13+F13)/(1-$B$5-$B$7),0)</f>
        <v/>
      </c>
      <c r="K13" s="7">
        <f>IF(C13&gt;=J13,"Profitable","Too low")</f>
        <v/>
      </c>
    </row>
    <row r="14">
      <c r="A14" s="7" t="inlineStr">
        <is>
          <t>Interior detail</t>
        </is>
      </c>
      <c r="B14" s="7" t="inlineStr">
        <is>
          <t>Car / sedan</t>
        </is>
      </c>
      <c r="C14" s="8" t="n">
        <v>225</v>
      </c>
      <c r="D14" s="8" t="n">
        <v>70</v>
      </c>
      <c r="E14" s="9">
        <f>$B$6</f>
        <v/>
      </c>
      <c r="F14" s="8" t="n">
        <v>12</v>
      </c>
      <c r="G14" s="9">
        <f>ROUND(C14*$B$5,0)</f>
        <v/>
      </c>
      <c r="H14" s="9">
        <f>C14-D14-E14-F14-G14</f>
        <v/>
      </c>
      <c r="I14" s="10">
        <f>IF(C14=0,"",H14/C14)</f>
        <v/>
      </c>
      <c r="J14" s="9">
        <f>ROUNDUP((D14+E14+F14)/(1-$B$5-$B$7),0)</f>
        <v/>
      </c>
      <c r="K14" s="7">
        <f>IF(C14&gt;=J14,"Profitable","Too low")</f>
        <v/>
      </c>
    </row>
    <row r="15">
      <c r="A15" s="7" t="inlineStr">
        <is>
          <t>Interior detail</t>
        </is>
      </c>
      <c r="B15" s="7" t="inlineStr">
        <is>
          <t>SUV / truck</t>
        </is>
      </c>
      <c r="C15" s="8" t="n">
        <v>249</v>
      </c>
      <c r="D15" s="8" t="n">
        <v>80</v>
      </c>
      <c r="E15" s="9">
        <f>$B$6</f>
        <v/>
      </c>
      <c r="F15" s="8" t="n">
        <v>14</v>
      </c>
      <c r="G15" s="9">
        <f>ROUND(C15*$B$5,0)</f>
        <v/>
      </c>
      <c r="H15" s="9">
        <f>C15-D15-E15-F15-G15</f>
        <v/>
      </c>
      <c r="I15" s="10">
        <f>IF(C15=0,"",H15/C15)</f>
        <v/>
      </c>
      <c r="J15" s="9">
        <f>ROUNDUP((D15+E15+F15)/(1-$B$5-$B$7),0)</f>
        <v/>
      </c>
      <c r="K15" s="7">
        <f>IF(C15&gt;=J15,"Profitable","Too low")</f>
        <v/>
      </c>
    </row>
    <row r="16">
      <c r="A16" s="7" t="inlineStr">
        <is>
          <t>Interior detail</t>
        </is>
      </c>
      <c r="B16" s="7" t="inlineStr">
        <is>
          <t>3-row / minivan</t>
        </is>
      </c>
      <c r="C16" s="8" t="n">
        <v>269</v>
      </c>
      <c r="D16" s="8" t="n">
        <v>85</v>
      </c>
      <c r="E16" s="9">
        <f>$B$6</f>
        <v/>
      </c>
      <c r="F16" s="8" t="n">
        <v>16</v>
      </c>
      <c r="G16" s="9">
        <f>ROUND(C16*$B$5,0)</f>
        <v/>
      </c>
      <c r="H16" s="9">
        <f>C16-D16-E16-F16-G16</f>
        <v/>
      </c>
      <c r="I16" s="10">
        <f>IF(C16=0,"",H16/C16)</f>
        <v/>
      </c>
      <c r="J16" s="9">
        <f>ROUNDUP((D16+E16+F16)/(1-$B$5-$B$7),0)</f>
        <v/>
      </c>
      <c r="K16" s="7">
        <f>IF(C16&gt;=J16,"Profitable","Too low")</f>
        <v/>
      </c>
    </row>
    <row r="17">
      <c r="A17" s="7" t="inlineStr">
        <is>
          <t>Exterior wash</t>
        </is>
      </c>
      <c r="B17" s="7" t="inlineStr">
        <is>
          <t>Car / sedan</t>
        </is>
      </c>
      <c r="C17" s="8" t="n">
        <v>170</v>
      </c>
      <c r="D17" s="8" t="n">
        <v>40</v>
      </c>
      <c r="E17" s="9">
        <f>$B$6</f>
        <v/>
      </c>
      <c r="F17" s="8" t="n">
        <v>8</v>
      </c>
      <c r="G17" s="9">
        <f>ROUND(C17*$B$5,0)</f>
        <v/>
      </c>
      <c r="H17" s="9">
        <f>C17-D17-E17-F17-G17</f>
        <v/>
      </c>
      <c r="I17" s="10">
        <f>IF(C17=0,"",H17/C17)</f>
        <v/>
      </c>
      <c r="J17" s="9">
        <f>ROUNDUP((D17+E17+F17)/(1-$B$5-$B$7),0)</f>
        <v/>
      </c>
      <c r="K17" s="7">
        <f>IF(C17&gt;=J17,"Profitable","Too low")</f>
        <v/>
      </c>
    </row>
    <row r="18">
      <c r="A18" s="7" t="inlineStr">
        <is>
          <t>Exterior wash</t>
        </is>
      </c>
      <c r="B18" s="7" t="inlineStr">
        <is>
          <t>SUV / truck</t>
        </is>
      </c>
      <c r="C18" s="8" t="n">
        <v>185</v>
      </c>
      <c r="D18" s="8" t="n">
        <v>45</v>
      </c>
      <c r="E18" s="9">
        <f>$B$6</f>
        <v/>
      </c>
      <c r="F18" s="8" t="n">
        <v>9</v>
      </c>
      <c r="G18" s="9">
        <f>ROUND(C18*$B$5,0)</f>
        <v/>
      </c>
      <c r="H18" s="9">
        <f>C18-D18-E18-F18-G18</f>
        <v/>
      </c>
      <c r="I18" s="10">
        <f>IF(C18=0,"",H18/C18)</f>
        <v/>
      </c>
      <c r="J18" s="9">
        <f>ROUNDUP((D18+E18+F18)/(1-$B$5-$B$7),0)</f>
        <v/>
      </c>
      <c r="K18" s="7">
        <f>IF(C18&gt;=J18,"Profitable","Too low")</f>
        <v/>
      </c>
    </row>
    <row r="19">
      <c r="A19" s="7" t="inlineStr">
        <is>
          <t>Exterior wash</t>
        </is>
      </c>
      <c r="B19" s="7" t="inlineStr">
        <is>
          <t>3-row / minivan</t>
        </is>
      </c>
      <c r="C19" s="8" t="n">
        <v>199</v>
      </c>
      <c r="D19" s="8" t="n">
        <v>50</v>
      </c>
      <c r="E19" s="9">
        <f>$B$6</f>
        <v/>
      </c>
      <c r="F19" s="8" t="n">
        <v>10</v>
      </c>
      <c r="G19" s="9">
        <f>ROUND(C19*$B$5,0)</f>
        <v/>
      </c>
      <c r="H19" s="9">
        <f>C19-D19-E19-F19-G19</f>
        <v/>
      </c>
      <c r="I19" s="10">
        <f>IF(C19=0,"",H19/C19)</f>
        <v/>
      </c>
      <c r="J19" s="9">
        <f>ROUNDUP((D19+E19+F19)/(1-$B$5-$B$7),0)</f>
        <v/>
      </c>
      <c r="K19" s="7">
        <f>IF(C19&gt;=J19,"Profitable","Too low")</f>
        <v/>
      </c>
    </row>
    <row r="20">
      <c r="A20" s="7" t="inlineStr">
        <is>
          <t>Winter Interior Reset (Nov–Feb)</t>
        </is>
      </c>
      <c r="B20" s="7" t="inlineStr">
        <is>
          <t>Any</t>
        </is>
      </c>
      <c r="C20" s="8" t="n">
        <v>250</v>
      </c>
      <c r="D20" s="8" t="n">
        <v>70</v>
      </c>
      <c r="E20" s="9">
        <f>$B$6</f>
        <v/>
      </c>
      <c r="F20" s="8" t="n">
        <v>15</v>
      </c>
      <c r="G20" s="9">
        <f>ROUND(C20*$B$5,0)</f>
        <v/>
      </c>
      <c r="H20" s="9">
        <f>C20-D20-E20-F20-G20</f>
        <v/>
      </c>
      <c r="I20" s="10">
        <f>IF(C20=0,"",H20/C20)</f>
        <v/>
      </c>
      <c r="J20" s="9">
        <f>ROUNDUP((D20+E20+F20)/(1-$B$5-$B$7),0)</f>
        <v/>
      </c>
      <c r="K20" s="7">
        <f>IF(C20&gt;=J20,"Profitable","Too low")</f>
        <v/>
      </c>
    </row>
    <row r="21"/>
    <row r="22">
      <c r="A22" s="3" t="inlineStr">
        <is>
          <t>ADD-ONS (no Rapid Reach fee, no ad cost)</t>
        </is>
      </c>
    </row>
    <row r="23">
      <c r="A23" s="6" t="inlineStr">
        <is>
          <t>Add-on</t>
        </is>
      </c>
      <c r="B23" s="6" t="inlineStr">
        <is>
          <t>Unit</t>
        </is>
      </c>
      <c r="C23" s="6" t="inlineStr">
        <is>
          <t>Price</t>
        </is>
      </c>
      <c r="D23" s="6" t="inlineStr">
        <is>
          <t>Tech bonus</t>
        </is>
      </c>
      <c r="E23" t="inlineStr"/>
      <c r="F23" s="6" t="inlineStr">
        <is>
          <t>Supplies</t>
        </is>
      </c>
      <c r="G23" t="inlineStr"/>
      <c r="H23" s="6" t="inlineStr">
        <is>
          <t>You keep</t>
        </is>
      </c>
      <c r="I23" s="6" t="inlineStr">
        <is>
          <t>Profit margin</t>
        </is>
      </c>
      <c r="J23" t="inlineStr"/>
      <c r="K23" s="6" t="inlineStr">
        <is>
          <t>Notes</t>
        </is>
      </c>
    </row>
    <row r="24">
      <c r="A24" s="7" t="inlineStr">
        <is>
          <t>Pet hair removal (light)</t>
        </is>
      </c>
      <c r="B24" s="7" t="inlineStr">
        <is>
          <t>per vehicle</t>
        </is>
      </c>
      <c r="C24" s="8" t="n">
        <v>50</v>
      </c>
      <c r="D24" s="8" t="n">
        <v>15</v>
      </c>
      <c r="E24" s="11" t="inlineStr"/>
      <c r="F24" s="8" t="n">
        <v>2</v>
      </c>
      <c r="G24" s="11" t="inlineStr"/>
      <c r="H24" s="9">
        <f>C24-D24-F24</f>
        <v/>
      </c>
      <c r="I24" s="10">
        <f>IF(C24=0,"",H24/C24)</f>
        <v/>
      </c>
      <c r="J24" s="11" t="inlineStr"/>
      <c r="K24" s="7" t="inlineStr">
        <is>
          <t>Most common upsell</t>
        </is>
      </c>
    </row>
    <row r="25">
      <c r="A25" s="7" t="inlineStr">
        <is>
          <t>Pet hair removal (heavy)</t>
        </is>
      </c>
      <c r="B25" s="7" t="inlineStr">
        <is>
          <t>per vehicle</t>
        </is>
      </c>
      <c r="C25" s="8" t="n">
        <v>100</v>
      </c>
      <c r="D25" s="8" t="n">
        <v>30</v>
      </c>
      <c r="E25" s="11" t="inlineStr"/>
      <c r="F25" s="8" t="n">
        <v>3</v>
      </c>
      <c r="G25" s="11" t="inlineStr"/>
      <c r="H25" s="9">
        <f>C25-D25-F25</f>
        <v/>
      </c>
      <c r="I25" s="10">
        <f>IF(C25=0,"",H25/C25)</f>
        <v/>
      </c>
      <c r="J25" s="11" t="inlineStr"/>
      <c r="K25" s="7" t="inlineStr">
        <is>
          <t>Say it before the job</t>
        </is>
      </c>
    </row>
    <row r="26">
      <c r="A26" s="7" t="inlineStr">
        <is>
          <t>Seat / stain extraction</t>
        </is>
      </c>
      <c r="B26" s="7" t="inlineStr">
        <is>
          <t>per seat</t>
        </is>
      </c>
      <c r="C26" s="8" t="n">
        <v>40</v>
      </c>
      <c r="D26" s="8" t="n">
        <v>12</v>
      </c>
      <c r="E26" s="11" t="inlineStr"/>
      <c r="F26" s="8" t="n">
        <v>3</v>
      </c>
      <c r="G26" s="11" t="inlineStr"/>
      <c r="H26" s="9">
        <f>C26-D26-F26</f>
        <v/>
      </c>
      <c r="I26" s="10">
        <f>IF(C26=0,"",H26/C26)</f>
        <v/>
      </c>
      <c r="J26" s="11" t="inlineStr"/>
      <c r="K26" s="12" t="inlineStr"/>
    </row>
    <row r="27">
      <c r="A27" s="7" t="inlineStr">
        <is>
          <t>Carpet + mat shampoo</t>
        </is>
      </c>
      <c r="B27" s="7" t="inlineStr">
        <is>
          <t>per vehicle</t>
        </is>
      </c>
      <c r="C27" s="8" t="n">
        <v>75</v>
      </c>
      <c r="D27" s="8" t="n">
        <v>20</v>
      </c>
      <c r="E27" s="11" t="inlineStr"/>
      <c r="F27" s="8" t="n">
        <v>5</v>
      </c>
      <c r="G27" s="11" t="inlineStr"/>
      <c r="H27" s="9">
        <f>C27-D27-F27</f>
        <v/>
      </c>
      <c r="I27" s="10">
        <f>IF(C27=0,"",H27/C27)</f>
        <v/>
      </c>
      <c r="J27" s="11" t="inlineStr"/>
      <c r="K27" s="7" t="inlineStr">
        <is>
          <t>Great in winter</t>
        </is>
      </c>
    </row>
    <row r="28">
      <c r="A28" s="7" t="inlineStr">
        <is>
          <t>Odor / ozone treatment</t>
        </is>
      </c>
      <c r="B28" s="7" t="inlineStr">
        <is>
          <t>per vehicle</t>
        </is>
      </c>
      <c r="C28" s="8" t="n">
        <v>75</v>
      </c>
      <c r="D28" s="8" t="n">
        <v>15</v>
      </c>
      <c r="E28" s="11" t="inlineStr"/>
      <c r="F28" s="8" t="n">
        <v>5</v>
      </c>
      <c r="G28" s="11" t="inlineStr"/>
      <c r="H28" s="9">
        <f>C28-D28-F28</f>
        <v/>
      </c>
      <c r="I28" s="10">
        <f>IF(C28=0,"",H28/C28)</f>
        <v/>
      </c>
      <c r="J28" s="11" t="inlineStr"/>
      <c r="K28" s="7" t="inlineStr">
        <is>
          <t>Smoke, pets, food</t>
        </is>
      </c>
    </row>
    <row r="29">
      <c r="A29" s="7" t="inlineStr">
        <is>
          <t>Leather clean + condition</t>
        </is>
      </c>
      <c r="B29" s="7" t="inlineStr">
        <is>
          <t>per vehicle</t>
        </is>
      </c>
      <c r="C29" s="8" t="n">
        <v>50</v>
      </c>
      <c r="D29" s="8" t="n">
        <v>15</v>
      </c>
      <c r="E29" s="11" t="inlineStr"/>
      <c r="F29" s="8" t="n">
        <v>5</v>
      </c>
      <c r="G29" s="11" t="inlineStr"/>
      <c r="H29" s="9">
        <f>C29-D29-F29</f>
        <v/>
      </c>
      <c r="I29" s="10">
        <f>IF(C29=0,"",H29/C29)</f>
        <v/>
      </c>
      <c r="J29" s="11" t="inlineStr"/>
      <c r="K29" s="12" t="inlineStr"/>
    </row>
    <row r="30">
      <c r="A30" s="7" t="inlineStr">
        <is>
          <t>Headlight restoration</t>
        </is>
      </c>
      <c r="B30" s="7" t="inlineStr">
        <is>
          <t>pair</t>
        </is>
      </c>
      <c r="C30" s="8" t="n">
        <v>75</v>
      </c>
      <c r="D30" s="8" t="n">
        <v>20</v>
      </c>
      <c r="E30" s="11" t="inlineStr"/>
      <c r="F30" s="8" t="n">
        <v>8</v>
      </c>
      <c r="G30" s="11" t="inlineStr"/>
      <c r="H30" s="9">
        <f>C30-D30-F30</f>
        <v/>
      </c>
      <c r="I30" s="10">
        <f>IF(C30=0,"",H30/C30)</f>
        <v/>
      </c>
      <c r="J30" s="11" t="inlineStr"/>
      <c r="K30" s="12" t="inlineStr"/>
    </row>
    <row r="31">
      <c r="A31" s="7" t="inlineStr">
        <is>
          <t>Engine bay clean</t>
        </is>
      </c>
      <c r="B31" s="7" t="inlineStr">
        <is>
          <t>per vehicle</t>
        </is>
      </c>
      <c r="C31" s="8" t="n">
        <v>50</v>
      </c>
      <c r="D31" s="8" t="n">
        <v>15</v>
      </c>
      <c r="E31" s="11" t="inlineStr"/>
      <c r="F31" s="8" t="n">
        <v>3</v>
      </c>
      <c r="G31" s="11" t="inlineStr"/>
      <c r="H31" s="9">
        <f>C31-D31-F31</f>
        <v/>
      </c>
      <c r="I31" s="10">
        <f>IF(C31=0,"",H31/C31)</f>
        <v/>
      </c>
      <c r="J31" s="11" t="inlineStr"/>
      <c r="K31" s="12" t="inlineStr"/>
    </row>
    <row r="32">
      <c r="A32" s="7" t="inlineStr">
        <is>
          <t>Clay bar + paint sealant (6 months)</t>
        </is>
      </c>
      <c r="B32" s="7" t="inlineStr">
        <is>
          <t>per vehicle</t>
        </is>
      </c>
      <c r="C32" s="8" t="n">
        <v>99</v>
      </c>
      <c r="D32" s="8" t="n">
        <v>30</v>
      </c>
      <c r="E32" s="11" t="inlineStr"/>
      <c r="F32" s="8" t="n">
        <v>10</v>
      </c>
      <c r="G32" s="11" t="inlineStr"/>
      <c r="H32" s="9">
        <f>C32-D32-F32</f>
        <v/>
      </c>
      <c r="I32" s="10">
        <f>IF(C32=0,"",H32/C32)</f>
        <v/>
      </c>
      <c r="J32" s="11" t="inlineStr"/>
      <c r="K32" s="7" t="inlineStr">
        <is>
          <t>Stepping stone to coatings</t>
        </is>
      </c>
    </row>
    <row r="33">
      <c r="A33" s="7" t="inlineStr">
        <is>
          <t>Trim restoration</t>
        </is>
      </c>
      <c r="B33" s="7" t="inlineStr">
        <is>
          <t>per vehicle</t>
        </is>
      </c>
      <c r="C33" s="8" t="n">
        <v>40</v>
      </c>
      <c r="D33" s="8" t="n">
        <v>10</v>
      </c>
      <c r="E33" s="11" t="inlineStr"/>
      <c r="F33" s="8" t="n">
        <v>5</v>
      </c>
      <c r="G33" s="11" t="inlineStr"/>
      <c r="H33" s="9">
        <f>C33-D33-F33</f>
        <v/>
      </c>
      <c r="I33" s="10">
        <f>IF(C33=0,"",H33/C33)</f>
        <v/>
      </c>
      <c r="J33" s="11" t="inlineStr"/>
      <c r="K33" s="12" t="inlineStr"/>
    </row>
    <row r="34">
      <c r="A34" s="7" t="inlineStr">
        <is>
          <t>Heavy dirt / sand / mud charge</t>
        </is>
      </c>
      <c r="B34" s="7" t="inlineStr">
        <is>
          <t>per vehicle</t>
        </is>
      </c>
      <c r="C34" s="8" t="n">
        <v>50</v>
      </c>
      <c r="D34" s="8" t="n">
        <v>20</v>
      </c>
      <c r="E34" s="11" t="inlineStr"/>
      <c r="F34" s="8" t="n">
        <v>2</v>
      </c>
      <c r="G34" s="11" t="inlineStr"/>
      <c r="H34" s="9">
        <f>C34-D34-F34</f>
        <v/>
      </c>
      <c r="I34" s="10">
        <f>IF(C34=0,"",H34/C34)</f>
        <v/>
      </c>
      <c r="J34" s="11" t="inlineStr"/>
      <c r="K34" s="7" t="inlineStr">
        <is>
          <t>Tailgates, beach, work trucks</t>
        </is>
      </c>
    </row>
    <row r="35">
      <c r="A35" s="7" t="inlineStr">
        <is>
          <t>Biohazard (vomit, mold, bodily fluids)</t>
        </is>
      </c>
      <c r="B35" s="7" t="inlineStr">
        <is>
          <t>starting at</t>
        </is>
      </c>
      <c r="C35" s="8" t="n">
        <v>150</v>
      </c>
      <c r="D35" s="8" t="n">
        <v>50</v>
      </c>
      <c r="E35" s="11" t="inlineStr"/>
      <c r="F35" s="8" t="n">
        <v>10</v>
      </c>
      <c r="G35" s="11" t="inlineStr"/>
      <c r="H35" s="9">
        <f>C35-D35-F35</f>
        <v/>
      </c>
      <c r="I35" s="10">
        <f>IF(C35=0,"",H35/C35)</f>
        <v/>
      </c>
      <c r="J35" s="11" t="inlineStr"/>
      <c r="K35" s="7" t="inlineStr">
        <is>
          <t>Quote after photos</t>
        </is>
      </c>
    </row>
    <row r="36">
      <c r="A36" s="7" t="inlineStr">
        <is>
          <t>Travel fee (45+ min drive)</t>
        </is>
      </c>
      <c r="B36" s="7" t="inlineStr">
        <is>
          <t>per trip</t>
        </is>
      </c>
      <c r="C36" s="8" t="n">
        <v>35</v>
      </c>
      <c r="D36" s="8" t="n">
        <v>10</v>
      </c>
      <c r="E36" s="11" t="inlineStr"/>
      <c r="F36" s="8" t="n">
        <v>0</v>
      </c>
      <c r="G36" s="11" t="inlineStr"/>
      <c r="H36" s="9">
        <f>C36-D36-F36</f>
        <v/>
      </c>
      <c r="I36" s="10">
        <f>IF(C36=0,"",H36/C36)</f>
        <v/>
      </c>
      <c r="J36" s="11" t="inlineStr"/>
      <c r="K36" s="7" t="inlineStr">
        <is>
          <t>Buckhead, Milton, Cumming, Lake Oconee</t>
        </is>
      </c>
    </row>
    <row r="37"/>
    <row r="38">
      <c r="A38" s="3" t="inlineStr">
        <is>
          <t>CERAMIC COATING (EXAMPLE PRICES – SET YOUR OWN)</t>
        </is>
      </c>
    </row>
    <row r="39">
      <c r="A39" s="6" t="inlineStr">
        <is>
          <t>Package</t>
        </is>
      </c>
      <c r="B39" s="6" t="inlineStr">
        <is>
          <t>Includes</t>
        </is>
      </c>
      <c r="C39" s="6" t="inlineStr">
        <is>
          <t>Price</t>
        </is>
      </c>
      <c r="D39" s="6" t="inlineStr">
        <is>
          <t>Tech pay</t>
        </is>
      </c>
      <c r="E39" t="inlineStr"/>
      <c r="F39" s="6" t="inlineStr">
        <is>
          <t>Product + supplies</t>
        </is>
      </c>
      <c r="G39" s="6" t="inlineStr">
        <is>
          <t>Ads</t>
        </is>
      </c>
      <c r="H39" s="6" t="inlineStr">
        <is>
          <t>You keep</t>
        </is>
      </c>
      <c r="I39" s="6" t="inlineStr">
        <is>
          <t>Profit margin</t>
        </is>
      </c>
      <c r="J39" t="inlineStr"/>
      <c r="K39" s="6" t="inlineStr">
        <is>
          <t>Notes</t>
        </is>
      </c>
    </row>
    <row r="40">
      <c r="A40" s="7" t="inlineStr">
        <is>
          <t>1-year coating</t>
        </is>
      </c>
      <c r="B40" s="7" t="inlineStr">
        <is>
          <t>Wash, decon, 1-step polish, 1-yr coating</t>
        </is>
      </c>
      <c r="C40" s="8" t="n">
        <v>599</v>
      </c>
      <c r="D40" s="8" t="n">
        <v>180</v>
      </c>
      <c r="E40" s="11" t="inlineStr"/>
      <c r="F40" s="8" t="n">
        <v>60</v>
      </c>
      <c r="G40" s="9">
        <f>ROUND(C40*$B$5,0)</f>
        <v/>
      </c>
      <c r="H40" s="9">
        <f>C40-D40-F40-G40</f>
        <v/>
      </c>
      <c r="I40" s="10">
        <f>IF(C40=0,"",H40/C40)</f>
        <v/>
      </c>
      <c r="J40" s="11" t="inlineStr"/>
      <c r="K40" s="7" t="inlineStr">
        <is>
          <t>Tech pay ~30% (example)</t>
        </is>
      </c>
    </row>
    <row r="41">
      <c r="A41" s="7" t="inlineStr">
        <is>
          <t>3-year coating</t>
        </is>
      </c>
      <c r="B41" s="7" t="inlineStr">
        <is>
          <t>Wash, decon, 1-step correction, 3-yr coating</t>
        </is>
      </c>
      <c r="C41" s="8" t="n">
        <v>999</v>
      </c>
      <c r="D41" s="8" t="n">
        <v>300</v>
      </c>
      <c r="E41" s="11" t="inlineStr"/>
      <c r="F41" s="8" t="n">
        <v>90</v>
      </c>
      <c r="G41" s="9">
        <f>ROUND(C41*$B$5,0)</f>
        <v/>
      </c>
      <c r="H41" s="9">
        <f>C41-D41-F41-G41</f>
        <v/>
      </c>
      <c r="I41" s="10">
        <f>IF(C41=0,"",H41/C41)</f>
        <v/>
      </c>
      <c r="J41" s="11" t="inlineStr"/>
      <c r="K41" s="7" t="inlineStr">
        <is>
          <t>Tech pay ~30% (example)</t>
        </is>
      </c>
    </row>
    <row r="42">
      <c r="A42" s="7" t="inlineStr">
        <is>
          <t>5-year coating</t>
        </is>
      </c>
      <c r="B42" s="7" t="inlineStr">
        <is>
          <t>Wash, decon, 2-step correction, 5-yr coating</t>
        </is>
      </c>
      <c r="C42" s="8" t="n">
        <v>1499</v>
      </c>
      <c r="D42" s="8" t="n">
        <v>450</v>
      </c>
      <c r="E42" s="11" t="inlineStr"/>
      <c r="F42" s="8" t="n">
        <v>120</v>
      </c>
      <c r="G42" s="9">
        <f>ROUND(C42*$B$5,0)</f>
        <v/>
      </c>
      <c r="H42" s="9">
        <f>C42-D42-F42-G42</f>
        <v/>
      </c>
      <c r="I42" s="10">
        <f>IF(C42=0,"",H42/C42)</f>
        <v/>
      </c>
      <c r="J42" s="11" t="inlineStr"/>
      <c r="K42" s="7" t="inlineStr">
        <is>
          <t>Tech pay ~30% (example)</t>
        </is>
      </c>
    </row>
    <row r="43"/>
    <row r="44">
      <c r="A44" s="3" t="inlineStr">
        <is>
          <t>PRICE RULES</t>
        </is>
      </c>
    </row>
    <row r="45">
      <c r="A45" s="3" t="inlineStr">
        <is>
          <t>Never discount the same service. Offer a smaller service or remove an add-on instead.</t>
        </is>
      </c>
    </row>
    <row r="46">
      <c r="A46" s="3" t="inlineStr">
        <is>
          <t>Always ask the year, make and model before quoting, so SUVs and 3-rows get the right price.</t>
        </is>
      </c>
    </row>
    <row r="47">
      <c r="A47" s="3" t="inlineStr">
        <is>
          <t>Say add-on charges (pet hair, heavy dirt) before the job, never after.</t>
        </is>
      </c>
    </row>
    <row r="48">
      <c r="A48" s="3" t="inlineStr">
        <is>
          <t>Keep every service at or above the “Lowest price for target margin” column.</t>
        </is>
      </c>
    </row>
    <row r="49">
      <c r="A49" s="3" t="inlineStr">
        <is>
          <t>Raise prices 5–10% a year with 30 days' notice.</t>
        </is>
      </c>
    </row>
    <row r="50">
      <c r="A50" s="3" t="inlineStr">
        <is>
          <t>New prices start with new customers; past customers keep old prices through December.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2026-09-26T22:17:09Z</dcterms:created>
  <dcterms:modified xmlns:dcterms="http://purl.org/dc/terms/" xmlns:xsi="http://www.w3.org/2001/XMLSchema-instance" xsi:type="dcterms:W3CDTF">2026-09-26T22:17:09Z</dcterms:modified>
</cp:coreProperties>
</file>
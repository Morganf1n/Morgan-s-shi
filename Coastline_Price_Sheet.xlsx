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COASTLINE PRICE SHEET + PROFIT CALCULATOR</t>
        </is>
      </c>
    </row>
    <row r="2">
      <c r="A2" t="inlineStr">
        <is>
          <t>© 2026 Morgan / Coastline Auto Detailing. All rights reserved. Confidential — do not copy or share without written permission.</t>
        </is>
      </c>
    </row>
    <row r="3">
      <c r="A3" t="inlineStr">
        <is>
          <t>Full Detail only, priced by vehicle. No packages. Yellow cells are yours to change. Updated Oct 26, 2026.</t>
        </is>
      </c>
    </row>
    <row r="5">
      <c r="A5" s="1" t="inlineStr">
        <is>
          <t>Setting</t>
        </is>
      </c>
      <c r="B5" t="inlineStr">
        <is>
          <t>Value</t>
        </is>
      </c>
    </row>
    <row r="6">
      <c r="A6" t="inlineStr">
        <is>
          <t>Rapid Reach fee per job (off the top)</t>
        </is>
      </c>
      <c r="B6" s="2" t="n">
        <v>25</v>
      </c>
    </row>
    <row r="7">
      <c r="A7" t="inlineStr">
        <is>
          <t>Subcontractor share (after fee)</t>
        </is>
      </c>
      <c r="B7" s="2" t="n">
        <v>0.6</v>
      </c>
    </row>
    <row r="9">
      <c r="A9" s="1" t="inlineStr">
        <is>
          <t>Vehicle</t>
        </is>
      </c>
      <c r="B9" t="inlineStr">
        <is>
          <t>Price</t>
        </is>
      </c>
      <c r="C9" t="inlineStr">
        <is>
          <t>Rapid Reach</t>
        </is>
      </c>
      <c r="D9" t="inlineStr">
        <is>
          <t>SUBCONTRACTOR: Sub gets (60%)</t>
        </is>
      </c>
      <c r="E9" t="inlineStr">
        <is>
          <t>Morgan keeps</t>
        </is>
      </c>
      <c r="F9" t="inlineStr">
        <is>
          <t>Margin</t>
        </is>
      </c>
      <c r="G9" t="inlineStr">
        <is>
          <t>TECH PAY: Tech pay</t>
        </is>
      </c>
      <c r="H9" t="inlineStr">
        <is>
          <t>Supplies</t>
        </is>
      </c>
      <c r="I9" t="inlineStr">
        <is>
          <t>Morgan keeps</t>
        </is>
      </c>
      <c r="J9" t="inlineStr">
        <is>
          <t>Margin</t>
        </is>
      </c>
    </row>
    <row r="10">
      <c r="A10" t="inlineStr">
        <is>
          <t>Sedan</t>
        </is>
      </c>
      <c r="B10" s="2" t="n">
        <v>215</v>
      </c>
      <c r="C10">
        <f>$B$6</f>
        <v/>
      </c>
      <c r="D10">
        <f>ROUND((B10-C10)*$B$7,2)</f>
        <v/>
      </c>
      <c r="E10">
        <f>B10-C10-D10</f>
        <v/>
      </c>
      <c r="F10">
        <f>E10/B10</f>
        <v/>
      </c>
      <c r="G10" s="2" t="n">
        <v>70</v>
      </c>
      <c r="H10" s="2" t="n">
        <v>15</v>
      </c>
      <c r="I10">
        <f>B10-C10-G10-H10</f>
        <v/>
      </c>
      <c r="J10">
        <f>I10/B10</f>
        <v/>
      </c>
    </row>
    <row r="11">
      <c r="A11" t="inlineStr">
        <is>
          <t>SUV</t>
        </is>
      </c>
      <c r="B11" s="2" t="n">
        <v>250</v>
      </c>
      <c r="C11">
        <f>$B$6</f>
        <v/>
      </c>
      <c r="D11">
        <f>ROUND((B11-C11)*$B$7,2)</f>
        <v/>
      </c>
      <c r="E11">
        <f>B11-C11-D11</f>
        <v/>
      </c>
      <c r="F11">
        <f>E11/B11</f>
        <v/>
      </c>
      <c r="G11" s="2" t="n">
        <v>70</v>
      </c>
      <c r="H11" s="2" t="n">
        <v>18</v>
      </c>
      <c r="I11">
        <f>B11-C11-G11-H11</f>
        <v/>
      </c>
      <c r="J11">
        <f>I11/B11</f>
        <v/>
      </c>
    </row>
    <row r="12">
      <c r="A12" t="inlineStr">
        <is>
          <t>Truck</t>
        </is>
      </c>
      <c r="B12" s="2" t="n">
        <v>300</v>
      </c>
      <c r="C12">
        <f>$B$6</f>
        <v/>
      </c>
      <c r="D12">
        <f>ROUND((B12-C12)*$B$7,2)</f>
        <v/>
      </c>
      <c r="E12">
        <f>B12-C12-D12</f>
        <v/>
      </c>
      <c r="F12">
        <f>E12/B12</f>
        <v/>
      </c>
      <c r="G12" s="2" t="n">
        <v>70</v>
      </c>
      <c r="H12" s="2" t="n">
        <v>20</v>
      </c>
      <c r="I12">
        <f>B12-C12-G12-H12</f>
        <v/>
      </c>
      <c r="J12">
        <f>I12/B12</f>
        <v/>
      </c>
    </row>
    <row r="14">
      <c r="A14" t="inlineStr">
        <is>
          <t>Avg ticket (40% sedan / 40% SUV / 20% truck)</t>
        </is>
      </c>
      <c r="B14">
        <f>0.4*B10+0.4*B11+0.2*B12</f>
        <v/>
      </c>
    </row>
    <row r="15">
      <c r="A15" t="inlineStr">
        <is>
          <t>Avg Morgan keeps per job: subcontractors</t>
        </is>
      </c>
      <c r="B15">
        <f>0.4*E10+0.4*E11+0.2*E12</f>
        <v/>
      </c>
    </row>
    <row r="16">
      <c r="A16" t="inlineStr">
        <is>
          <t>Avg Morgan keeps per job: tech pay</t>
        </is>
      </c>
      <c r="B16">
        <f>0.4*I10+0.4*I11+0.2*I12</f>
        <v/>
      </c>
    </row>
    <row r="18">
      <c r="A18" s="1" t="inlineStr">
        <is>
          <t>Monthly revenue</t>
        </is>
      </c>
      <c r="B18" t="inlineStr">
        <is>
          <t>Jobs</t>
        </is>
      </c>
      <c r="C18" t="inlineStr">
        <is>
          <t>Morgan keeps (subcontractors)</t>
        </is>
      </c>
      <c r="D18" t="inlineStr">
        <is>
          <t>Morgan keeps (tech pay)</t>
        </is>
      </c>
    </row>
    <row r="19">
      <c r="A19" t="n">
        <v>10000</v>
      </c>
      <c r="B19">
        <f>ROUNDUP(A19/$B$14,0)</f>
        <v/>
      </c>
      <c r="C19">
        <f>ROUND(B19*$B$15,0)</f>
        <v/>
      </c>
      <c r="D19">
        <f>ROUND(B19*$B$16,0)</f>
        <v/>
      </c>
    </row>
    <row r="20">
      <c r="A20" t="n">
        <v>20000</v>
      </c>
      <c r="B20">
        <f>ROUNDUP(A20/$B$14,0)</f>
        <v/>
      </c>
      <c r="C20">
        <f>ROUND(B20*$B$15,0)</f>
        <v/>
      </c>
      <c r="D20">
        <f>ROUND(B20*$B$16,0)</f>
        <v/>
      </c>
    </row>
    <row r="21">
      <c r="A21" t="n">
        <v>30000</v>
      </c>
      <c r="B21">
        <f>ROUNDUP(A21/$B$14,0)</f>
        <v/>
      </c>
      <c r="C21">
        <f>ROUND(B21*$B$15,0)</f>
        <v/>
      </c>
      <c r="D21">
        <f>ROUND(B21*$B$16,0)</f>
        <v/>
      </c>
    </row>
    <row r="22">
      <c r="A22" t="n">
        <v>50000</v>
      </c>
      <c r="B22">
        <f>ROUNDUP(A22/$B$14,0)</f>
        <v/>
      </c>
      <c r="C22">
        <f>ROUND(B22*$B$15,0)</f>
        <v/>
      </c>
      <c r="D22">
        <f>ROUND(B22*$B$16,0)</f>
        <v/>
      </c>
    </row>
    <row r="23">
      <c r="A23" t="n">
        <v>100000</v>
      </c>
      <c r="B23">
        <f>ROUNDUP(A23/$B$14,0)</f>
        <v/>
      </c>
      <c r="C23">
        <f>ROUND(B23*$B$15,0)</f>
        <v/>
      </c>
      <c r="D23">
        <f>ROUND(B23*$B$16,0)</f>
        <v/>
      </c>
    </row>
    <row r="25">
      <c r="A25" s="1" t="inlineStr">
        <is>
          <t>EXTRAS (only if the car needs it; no Rapid Reach fee)</t>
        </is>
      </c>
      <c r="B25" t="inlineStr">
        <is>
          <t>Price</t>
        </is>
      </c>
      <c r="C25" t="inlineStr">
        <is>
          <t>Sub (60%)</t>
        </is>
      </c>
      <c r="D25" t="inlineStr">
        <is>
          <t>Morgan (40%)</t>
        </is>
      </c>
    </row>
    <row r="26">
      <c r="A26" t="inlineStr">
        <is>
          <t>Heavy pet hair</t>
        </is>
      </c>
      <c r="B26" t="n">
        <v>50</v>
      </c>
      <c r="C26">
        <f>B26*$B$7</f>
        <v/>
      </c>
      <c r="D26">
        <f>B26*(1-$B$7)</f>
        <v/>
      </c>
    </row>
    <row r="27">
      <c r="A27" t="inlineStr">
        <is>
          <t>Odor removal (ozone)</t>
        </is>
      </c>
      <c r="B27" t="n">
        <v>75</v>
      </c>
      <c r="C27">
        <f>B27*$B$7</f>
        <v/>
      </c>
      <c r="D27">
        <f>B27*(1-$B$7)</f>
        <v/>
      </c>
    </row>
    <row r="28">
      <c r="A28" t="inlineStr">
        <is>
          <t>Headlight restoration</t>
        </is>
      </c>
      <c r="B28" t="n">
        <v>75</v>
      </c>
      <c r="C28">
        <f>B28*$B$7</f>
        <v/>
      </c>
      <c r="D28">
        <f>B28*(1-$B$7)</f>
        <v/>
      </c>
    </row>
    <row r="29">
      <c r="A29" t="inlineStr">
        <is>
          <t>Clay bar + paint sealant (6 months)</t>
        </is>
      </c>
      <c r="B29" t="n">
        <v>99</v>
      </c>
      <c r="C29">
        <f>B29*$B$7</f>
        <v/>
      </c>
      <c r="D29">
        <f>B29*(1-$B$7)</f>
        <v/>
      </c>
    </row>
    <row r="30">
      <c r="A30" t="inlineStr">
        <is>
          <t>Heavy dirt / sand / mud</t>
        </is>
      </c>
      <c r="B30" t="n">
        <v>50</v>
      </c>
      <c r="C30">
        <f>B30*$B$7</f>
        <v/>
      </c>
      <c r="D30">
        <f>B30*(1-$B$7)</f>
        <v/>
      </c>
    </row>
    <row r="31">
      <c r="A31" t="inlineStr">
        <is>
          <t>Biohazard (from)</t>
        </is>
      </c>
      <c r="B31" t="n">
        <v>150</v>
      </c>
      <c r="C31">
        <f>B31*$B$7</f>
        <v/>
      </c>
      <c r="D31">
        <f>B31*(1-$B$7)</f>
        <v/>
      </c>
    </row>
    <row r="32">
      <c r="A32" t="inlineStr">
        <is>
          <t>Travel (45+ min)</t>
        </is>
      </c>
      <c r="B32" t="n">
        <v>35</v>
      </c>
      <c r="C32">
        <f>B32*$B$7</f>
        <v/>
      </c>
      <c r="D32">
        <f>B32*(1-$B$7)</f>
        <v/>
      </c>
    </row>
    <row r="34">
      <c r="A34" s="1" t="inlineStr">
        <is>
          <t>PRICE RULES</t>
        </is>
      </c>
    </row>
    <row r="35">
      <c r="A35" t="inlineStr">
        <is>
          <t>Full Detail only: Sedan $215, SUV $250, Truck $300. No packages.</t>
        </is>
      </c>
    </row>
    <row r="36">
      <c r="A36" t="inlineStr">
        <is>
          <t>Always ask the year, make and model before quoting.</t>
        </is>
      </c>
    </row>
    <row r="37">
      <c r="A37" t="inlineStr">
        <is>
          <t>Never discount. Heavy pet hair, dirt or biohazard is quoted before the job, never after.</t>
        </is>
      </c>
    </row>
    <row r="38">
      <c r="A38" t="inlineStr">
        <is>
          <t>Tech pay model: Morgan buys supplies. Subcontractor model: subs pay their own chemicals and gas.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2026-10-26T16:49:58Z</dcterms:created>
  <dcterms:modified xmlns:dcterms="http://purl.org/dc/terms/" xmlns:xsi="http://www.w3.org/2001/XMLSchema-instance" xsi:type="dcterms:W3CDTF">2026-10-26T16:49:58Z</dcterms:modified>
</cp:coreProperties>
</file>